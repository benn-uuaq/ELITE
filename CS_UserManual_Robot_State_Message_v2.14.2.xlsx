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D:\RND_WORK\MyGit\S_series\스크립트제어_기본소스\"/>
    </mc:Choice>
  </mc:AlternateContent>
  <xr:revisionPtr revIDLastSave="0" documentId="8_{9759B690-44D8-4AB2-A831-C0961D82C836}" xr6:coauthVersionLast="47" xr6:coauthVersionMax="47" xr10:uidLastSave="{00000000-0000-0000-0000-000000000000}"/>
  <bookViews>
    <workbookView xWindow="-120" yWindow="-120" windowWidth="38640" windowHeight="21120" tabRatio="733" activeTab="1" xr2:uid="{00000000-000D-0000-FFFF-FFFF00000000}"/>
  </bookViews>
  <sheets>
    <sheet name="Explain" sheetId="13" r:id="rId1"/>
    <sheet name="Package(&gt;=v2.14.2)" sheetId="22" r:id="rId2"/>
    <sheet name="Package(v2.11.0-v2.14.1)" sheetId="23" r:id="rId3"/>
    <sheet name="Package(v2.6.0-v2.10.3)" sheetId="15" r:id="rId4"/>
    <sheet name="Package(v2.1.0-v2.5.0)" sheetId="14" r:id="rId5"/>
    <sheet name="Package(v2.0.0-v2.0.3)" sheetId="1" r:id="rId6"/>
    <sheet name="Package Format" sheetId="12" r:id="rId7"/>
    <sheet name="ExceptionDataType" sheetId="20" r:id="rId8"/>
    <sheet name="RuntimeException" sheetId="21" r:id="rId9"/>
    <sheet name="Exception code" sheetId="18" r:id="rId10"/>
    <sheet name="Exception Source" sheetId="17" r:id="rId11"/>
    <sheet name="Exception Level" sheetId="19" r:id="rId12"/>
    <sheet name="SAFETY_OPERATIONAL_MODE" sheetId="11" r:id="rId13"/>
    <sheet name="TOOL_OUTPUT_VOLTAGE" sheetId="10" r:id="rId14"/>
    <sheet name="SAFETY_MODE" sheetId="9" r:id="rId15"/>
    <sheet name="ANALOG_DOMAIN" sheetId="8" r:id="rId16"/>
    <sheet name="ROBOT_STRUCTURE_TYPE" sheetId="7" r:id="rId17"/>
    <sheet name="CONTROL_BOX_TYPE" sheetId="25" r:id="rId18"/>
    <sheet name="TOOL_TYPE" sheetId="26" r:id="rId19"/>
    <sheet name="ROBOT_TYPE" sheetId="6" r:id="rId20"/>
    <sheet name="JOINT_AND_TOOL_MODE" sheetId="5" r:id="rId21"/>
    <sheet name="ROBOT_CONTROL_MODE" sheetId="3" r:id="rId22"/>
    <sheet name="ROBOT_MODE" sheetId="2" r:id="rId23"/>
    <sheet name="ROBOT_SPEED_MODE" sheetId="4" r:id="rId2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4" i="22" l="1"/>
  <c r="A88" i="22"/>
  <c r="A137" i="23"/>
  <c r="A128" i="23"/>
  <c r="A117" i="23"/>
  <c r="A110" i="23"/>
  <c r="A85" i="23"/>
  <c r="A54" i="23"/>
  <c r="A40" i="23"/>
  <c r="A24" i="23"/>
  <c r="A5" i="23"/>
  <c r="A140" i="22"/>
  <c r="A131" i="22"/>
  <c r="A120" i="22"/>
  <c r="A113" i="22"/>
  <c r="A40" i="22"/>
  <c r="A24" i="22"/>
  <c r="A5" i="22"/>
  <c r="A137" i="15"/>
  <c r="A128" i="15"/>
  <c r="A117" i="15"/>
  <c r="A110" i="15"/>
  <c r="A85" i="15"/>
  <c r="A54" i="15"/>
  <c r="A40" i="15"/>
  <c r="A24" i="15"/>
  <c r="A5" i="15"/>
  <c r="A149" i="1"/>
  <c r="A140" i="1"/>
  <c r="A131" i="1"/>
  <c r="A120" i="1"/>
  <c r="A117" i="1"/>
  <c r="A110" i="1"/>
  <c r="A85" i="1"/>
  <c r="A54" i="1"/>
  <c r="A40" i="1"/>
  <c r="A24" i="1"/>
  <c r="A5" i="1"/>
  <c r="A137" i="14"/>
  <c r="A128" i="14"/>
  <c r="A117" i="14"/>
  <c r="A110" i="14"/>
  <c r="A85" i="14"/>
  <c r="A54" i="14"/>
  <c r="A40" i="14"/>
  <c r="A24" i="14"/>
  <c r="A5" i="14"/>
</calcChain>
</file>

<file path=xl/sharedStrings.xml><?xml version="1.0" encoding="utf-8"?>
<sst xmlns="http://schemas.openxmlformats.org/spreadsheetml/2006/main" count="3363" uniqueCount="1326">
  <si>
    <t>Introduction</t>
  </si>
  <si>
    <t>The controller is always providing data representing the robot's state, such as positions, temperatures.The data transmitted from each server socket. This port is "Primary Port" and it send data of robot's state.</t>
  </si>
  <si>
    <t>Description</t>
  </si>
  <si>
    <t>Port</t>
  </si>
  <si>
    <t xml:space="preserve">Frequency </t>
  </si>
  <si>
    <t>10HZ</t>
  </si>
  <si>
    <t>Package Format</t>
  </si>
  <si>
    <t>Details: Package Format</t>
  </si>
  <si>
    <t xml:space="preserve">Package Format Description </t>
  </si>
  <si>
    <t>Details: Robot's State Package</t>
  </si>
  <si>
    <t>Robot's State Package（Format: Package Format）</t>
  </si>
  <si>
    <t>Type</t>
  </si>
  <si>
    <t>names</t>
  </si>
  <si>
    <t>number of bytes</t>
  </si>
  <si>
    <t>Message Head(5 bytes)</t>
  </si>
  <si>
    <t>uint32_t</t>
  </si>
  <si>
    <t>total_message_len</t>
  </si>
  <si>
    <t>Length of whole package</t>
  </si>
  <si>
    <t>uint8_t</t>
  </si>
  <si>
    <t>total_message_type</t>
  </si>
  <si>
    <t>Type of package = MESSAGE_TYPE_ROBOT_STATE = 16</t>
  </si>
  <si>
    <t>mode_sub_len</t>
  </si>
  <si>
    <t>Length of sub-package</t>
  </si>
  <si>
    <t>mode_sub_type</t>
  </si>
  <si>
    <t>Type of sub-package = ROBOT_STATE_PACKAGE_TYPE_ROBOT_MODE_DATA = 0</t>
  </si>
  <si>
    <t>uint64_t</t>
  </si>
  <si>
    <t>timestamp</t>
  </si>
  <si>
    <t>The subtle number of the robot from startup to the current moment (Every second update)</t>
  </si>
  <si>
    <t>bool</t>
  </si>
  <si>
    <t>reserver</t>
  </si>
  <si>
    <t>is_robot_power_on</t>
  </si>
  <si>
    <t>Whether the robot is powered on</t>
  </si>
  <si>
    <t>is_emergency_stopped</t>
  </si>
  <si>
    <t>Whether the robot is in the state of robot emergency stop and system emergency stop</t>
  </si>
  <si>
    <t>is_robot_protective_stopped</t>
  </si>
  <si>
    <t>Whether the robot is in the protected stop state</t>
  </si>
  <si>
    <t>is_program_running</t>
  </si>
  <si>
    <t>Whether the program is not running</t>
  </si>
  <si>
    <t>is_program_paused</t>
  </si>
  <si>
    <t>Whether the program is paused</t>
  </si>
  <si>
    <t>get_robot_mode</t>
  </si>
  <si>
    <t>Robot mode: Details ROBOT_MODE</t>
  </si>
  <si>
    <t>get_robot_control_mode</t>
  </si>
  <si>
    <t>Robot control mode: Details ROBOT_CONTROL_MODE</t>
  </si>
  <si>
    <t>double</t>
  </si>
  <si>
    <t>get_target_speed_fraction</t>
  </si>
  <si>
    <t>Target speed scaling ratio. Range in [0.01 , 1]</t>
  </si>
  <si>
    <t>get_speed_scaling</t>
  </si>
  <si>
    <t>Robot program speed scaling ratio. Range in [0.01 , 1]</t>
  </si>
  <si>
    <t>get_target_speed_fraction_limit</t>
  </si>
  <si>
    <t>Target point speed limit</t>
  </si>
  <si>
    <t>get_robot_speed_mode</t>
  </si>
  <si>
    <t>Robot speed mode, Details: ROBOT_SPEED_MODE</t>
  </si>
  <si>
    <t>is_robot_system_in_alarm</t>
  </si>
  <si>
    <t>Whether the robot is in the alarming</t>
  </si>
  <si>
    <t>is_in_package_mode</t>
  </si>
  <si>
    <t>Whether the robot is in the package mode</t>
  </si>
  <si>
    <t>joint_sub_len</t>
  </si>
  <si>
    <t>joint_sub_type</t>
  </si>
  <si>
    <t>Type of sub-package = ROBOT_STATE_PACKAGE_TYPE_JOINT_DATA = 1</t>
  </si>
  <si>
    <t>foreach joint:</t>
  </si>
  <si>
    <t>actual_joint</t>
  </si>
  <si>
    <t>Read joint angle. Unit: rad</t>
  </si>
  <si>
    <t>target_joint</t>
  </si>
  <si>
    <t>Targe joint angle. Unit: rad</t>
  </si>
  <si>
    <t>actual_velocity</t>
  </si>
  <si>
    <t>Real speed. Unit: rad/s</t>
  </si>
  <si>
    <t>int32_t</t>
  </si>
  <si>
    <t>float</t>
  </si>
  <si>
    <t>current</t>
  </si>
  <si>
    <t>Joint current</t>
  </si>
  <si>
    <t>voltage</t>
  </si>
  <si>
    <t>Joint voltage</t>
  </si>
  <si>
    <t>temperature</t>
  </si>
  <si>
    <t>Joint temperature</t>
  </si>
  <si>
    <t>torques</t>
  </si>
  <si>
    <t>Joint torque</t>
  </si>
  <si>
    <t>mode</t>
  </si>
  <si>
    <t>Joint mode. Details: JOINT_AND_TOOL_MODE</t>
  </si>
  <si>
    <t>reserve</t>
  </si>
  <si>
    <t>end</t>
  </si>
  <si>
    <t>cartesial_sub_len</t>
  </si>
  <si>
    <t>cartesial_sub_type</t>
  </si>
  <si>
    <t>Type of sub-package = ROBOT_STATE_PACKAGE_TYPE_CARTESIAN_INFO = 4</t>
  </si>
  <si>
    <t>tcp_x</t>
  </si>
  <si>
    <t>Tool coordinate position X axis</t>
  </si>
  <si>
    <t>tcp_y</t>
  </si>
  <si>
    <t>Tool coordinate position Y axis</t>
  </si>
  <si>
    <t>tcp_z</t>
  </si>
  <si>
    <t>Tool coordinate position Z axis</t>
  </si>
  <si>
    <t>rot_x</t>
  </si>
  <si>
    <t>Tool pose rotation Angle X axis</t>
  </si>
  <si>
    <t>rot_y</t>
  </si>
  <si>
    <t>Tool pose rotation Angle Y axis</t>
  </si>
  <si>
    <t>rot_z</t>
  </si>
  <si>
    <t>Tool pose rotation Angle Z axis</t>
  </si>
  <si>
    <t>offset_px</t>
  </si>
  <si>
    <t>Tool size data X axis</t>
  </si>
  <si>
    <t>offset_py</t>
  </si>
  <si>
    <t>Tool size data Y axis</t>
  </si>
  <si>
    <t>offset_pz</t>
  </si>
  <si>
    <t>Tool size data Z axis</t>
  </si>
  <si>
    <t>offset_rotx</t>
  </si>
  <si>
    <t>Tool size data Rotation Angle X axis</t>
  </si>
  <si>
    <t>offset_roty</t>
  </si>
  <si>
    <t>Tool size data Rotation Angle Y axis</t>
  </si>
  <si>
    <t>offset_rotz</t>
  </si>
  <si>
    <t>Tool size data Rotation Angle Z axis</t>
  </si>
  <si>
    <t>configuration_sub_len</t>
  </si>
  <si>
    <t>configuration_sub_type</t>
  </si>
  <si>
    <t>Type of sub-package = ROBOT_STATE_PACKAGE_TYPE_CONFIGURATION_DATA = 6</t>
  </si>
  <si>
    <t>limit_min_joint_x</t>
  </si>
  <si>
    <t>Minimum hard limit for joint X</t>
  </si>
  <si>
    <t>limit_max_joint_x</t>
  </si>
  <si>
    <t>Maximum hard limit of joint X</t>
  </si>
  <si>
    <t>max_velocity_joint_x</t>
  </si>
  <si>
    <t>Maximum speed of joint X</t>
  </si>
  <si>
    <t>max_acc_joint_x</t>
  </si>
  <si>
    <t>Maximum accelerated of joint X</t>
  </si>
  <si>
    <t>default_velocity_joint</t>
  </si>
  <si>
    <t>Default speed of joint X</t>
  </si>
  <si>
    <t>default_acc_joint</t>
  </si>
  <si>
    <t>Default acclerated of joint X</t>
  </si>
  <si>
    <t>default_tool_velocity</t>
  </si>
  <si>
    <t>Default tool speed</t>
  </si>
  <si>
    <t>default_tool_acc</t>
  </si>
  <si>
    <t>Default tool acclerated</t>
  </si>
  <si>
    <t>eq_radius</t>
  </si>
  <si>
    <t>Default blend radius</t>
  </si>
  <si>
    <t>dh_a_joint_x</t>
  </si>
  <si>
    <t>The DH parameter in 'a' of joint X</t>
  </si>
  <si>
    <t>dh_d_joint_d</t>
  </si>
  <si>
    <t>The DH parameter in 'd' of joint X</t>
  </si>
  <si>
    <t>dh_alpha_joint_x</t>
  </si>
  <si>
    <t>The DH parameter in 'alpha' of joint X</t>
  </si>
  <si>
    <t>board_version</t>
  </si>
  <si>
    <t>The version of motherboard</t>
  </si>
  <si>
    <t>control_box_type</t>
  </si>
  <si>
    <t>The control box of robot</t>
  </si>
  <si>
    <t>robot_type</t>
  </si>
  <si>
    <t>Robot Type. Details: ROBOT_TYPE</t>
  </si>
  <si>
    <t>robot_struct</t>
  </si>
  <si>
    <t>Robot structure type. Details: ROBOT_STRUCTURE_TYPE</t>
  </si>
  <si>
    <t>masterboard_sub_len</t>
  </si>
  <si>
    <t>masterboard_sub_type</t>
  </si>
  <si>
    <t>Type of sub-package = ROBOT_STATE_PACKAGE_TYPE_MASTERBOARD_DATA = 3</t>
  </si>
  <si>
    <t>digital_input_bits</t>
  </si>
  <si>
    <t>Gets all digital input IO values. The value of each bit:  xxxxTTTTCCCCCCCCDDDDDDDDDDDDDDD. Explan: 'D' is digtal input IO; C is configurable input io; T is tool input io; x is NC.</t>
  </si>
  <si>
    <t>digital_output_bits</t>
  </si>
  <si>
    <t>Gets all digital output IO values. The value of each bit:  xxxxTTTTCCCCCCCCDDDDDDDDDDDDDDD. Explan: 'D' is digtal output IO; C is configurable output io; T is tool output io; x is NC.</t>
  </si>
  <si>
    <t>standard_analog_input_domain0</t>
  </si>
  <si>
    <t>Analog input IO0 configure, Details: ANALOG_DOMAIN</t>
  </si>
  <si>
    <t>standard_analog_input_domain1</t>
  </si>
  <si>
    <t>Analog input IO1 configure, Details: ANALOG_DOMAIN</t>
  </si>
  <si>
    <t>tool_analog_input_domain</t>
  </si>
  <si>
    <t>Tool analog IO configure, Details: ANALOG_DOMAIN</t>
  </si>
  <si>
    <t>standard_analog_input_value0</t>
  </si>
  <si>
    <t>Analog input IO0 value</t>
  </si>
  <si>
    <t>standard_analog_input_value1</t>
  </si>
  <si>
    <t>Analog input IO1 value</t>
  </si>
  <si>
    <t>tool_analog_input_value</t>
  </si>
  <si>
    <t>Tool analog input io value</t>
  </si>
  <si>
    <t>standard_analog_output_domain0</t>
  </si>
  <si>
    <t>Analog output IO0 configure. Details: ANALOG_DOMAIN</t>
  </si>
  <si>
    <t>standard_analog_output_domain1</t>
  </si>
  <si>
    <t>Analog output IO1 configure. Details: ANALOG_DOMAIN</t>
  </si>
  <si>
    <t>tool_analog_output_domain</t>
  </si>
  <si>
    <t>Tool analog output io configure. Details: ANALOG_DOMAIN</t>
  </si>
  <si>
    <t>standard_analog_output_value0</t>
  </si>
  <si>
    <t>Analog IO0 ouput value</t>
  </si>
  <si>
    <t>standard_analog_output_value1</t>
  </si>
  <si>
    <t>Analog IO1 ouput value</t>
  </si>
  <si>
    <t>tool_analog_output_value</t>
  </si>
  <si>
    <t>Tool analog IO ouput value</t>
  </si>
  <si>
    <t>bord_temperature</t>
  </si>
  <si>
    <t>Motherboard temperature</t>
  </si>
  <si>
    <t>robot_voltage</t>
  </si>
  <si>
    <t>Robot voltage</t>
  </si>
  <si>
    <t>robot_current</t>
  </si>
  <si>
    <t>Robot current</t>
  </si>
  <si>
    <t>io_current</t>
  </si>
  <si>
    <t>IO current</t>
  </si>
  <si>
    <t>bord_safe_mode</t>
  </si>
  <si>
    <t>Motherboard aggregated mode. Details: SAFETY_MODE</t>
  </si>
  <si>
    <t>is_robot_in_reduced_mode</t>
  </si>
  <si>
    <t>Wether motherboard in reduce mode</t>
  </si>
  <si>
    <t>get_operational_mode_selector_input</t>
  </si>
  <si>
    <t>operational mode selector state</t>
  </si>
  <si>
    <t>get_threeposition_enabling_device_input</t>
  </si>
  <si>
    <t>threeposition is enabling</t>
  </si>
  <si>
    <t>masterboard_safety_mode</t>
  </si>
  <si>
    <t>Motherboard mode. Details: SAFETY_MODE</t>
  </si>
  <si>
    <t>additional_sub_len</t>
  </si>
  <si>
    <t>additional_sub_type</t>
  </si>
  <si>
    <t>Type of sub-package = ROBOT_STATE_PACKAGE_TYPE_ADDITIONAL_INFO = 8</t>
  </si>
  <si>
    <t>is_freedrive_button_pressed</t>
  </si>
  <si>
    <t>Wether the drive teaching is pressing. Pressing is true, not is false</t>
  </si>
  <si>
    <t>is_freedrive_io_enabled</t>
  </si>
  <si>
    <t>Wether the driver teaching IO state. Opening is true, not is false</t>
  </si>
  <si>
    <t>is_dynamic_collision_detect_enabled</t>
  </si>
  <si>
    <t>Current collision detection mode status. Enable is true, not is false</t>
  </si>
  <si>
    <t>tool_sub_len</t>
  </si>
  <si>
    <t>tool_sub_type</t>
  </si>
  <si>
    <t>Type of sub-package = ROBOT_STATE_PACKAGE_TYPE_TOOL_DATA = 2</t>
  </si>
  <si>
    <t>Tool analog IO output configure. Details: ANALOG_DOMAIN</t>
  </si>
  <si>
    <t>Tool analog IO input configure. Details: ANALOG_DOMAIN</t>
  </si>
  <si>
    <t>Tool analog IO output value.</t>
  </si>
  <si>
    <t>Tool analog IO input value.</t>
  </si>
  <si>
    <t>tool_voltage</t>
  </si>
  <si>
    <t>Tool voltage</t>
  </si>
  <si>
    <t>tool_output_voltage</t>
  </si>
  <si>
    <t>Tool output voltage. Details: TOOL_OUTPUT_VOLTAGE</t>
  </si>
  <si>
    <t>tool_current</t>
  </si>
  <si>
    <t>Tool output current</t>
  </si>
  <si>
    <t>tool_temperature</t>
  </si>
  <si>
    <t>Tool temperature.</t>
  </si>
  <si>
    <t>tool_mode</t>
  </si>
  <si>
    <t>Tool mode. Details: JOINT_AND_TOOL_MODE</t>
  </si>
  <si>
    <t>safe_sub_len</t>
  </si>
  <si>
    <t>safe_sub_type</t>
  </si>
  <si>
    <t>Type of sub-package = ROBOT_STATE_PACKAGE_TYPE_SAFETY_STATE = 10</t>
  </si>
  <si>
    <t>safety_crc_num</t>
  </si>
  <si>
    <t>Robot safety parameter verification code</t>
  </si>
  <si>
    <t>int8_t</t>
  </si>
  <si>
    <t>safety_operational_mode</t>
  </si>
  <si>
    <r>
      <rPr>
        <u/>
        <sz val="11"/>
        <color rgb="FF800080"/>
        <rFont val="新宋体"/>
        <family val="3"/>
        <charset val="134"/>
      </rPr>
      <t>Robot safe</t>
    </r>
    <r>
      <rPr>
        <sz val="11"/>
        <color rgb="FF800080"/>
        <rFont val="新宋体"/>
        <family val="3"/>
        <charset val="134"/>
      </rPr>
      <t>ty</t>
    </r>
    <r>
      <rPr>
        <u/>
        <sz val="11"/>
        <color rgb="FF800080"/>
        <rFont val="新宋体"/>
        <family val="3"/>
        <charset val="134"/>
      </rPr>
      <t xml:space="preserve"> operation mode. Deltails: SAFETY_OPERATIONAL_MODE</t>
    </r>
  </si>
  <si>
    <t>current_elbow_position_x</t>
  </si>
  <si>
    <t>Real-time position x of the robot elbow</t>
  </si>
  <si>
    <t>current_elbow_position_y</t>
  </si>
  <si>
    <t>Real-time position y of the robot elbow</t>
  </si>
  <si>
    <t>current_elbow_position_z</t>
  </si>
  <si>
    <t>Real-time position z of the robot elbow</t>
  </si>
  <si>
    <t>elbow_radius</t>
  </si>
  <si>
    <t>The elbow radius of the robot</t>
  </si>
  <si>
    <t>tool_comm_sub_len</t>
  </si>
  <si>
    <t>tool_comm_sub_type</t>
  </si>
  <si>
    <t>Subreport type = ROBOT_STATE_PACKAGE_TYPE_TOOL_COMM_INFO = 11</t>
  </si>
  <si>
    <t>is_enable</t>
  </si>
  <si>
    <t>Is enable</t>
  </si>
  <si>
    <t>baudrate</t>
  </si>
  <si>
    <t>Baud rate</t>
  </si>
  <si>
    <t>parity</t>
  </si>
  <si>
    <t>parity check bit. None is 0; Odd is 1; Even is 2</t>
  </si>
  <si>
    <t>stopbits</t>
  </si>
  <si>
    <t>Stop bits</t>
  </si>
  <si>
    <t>tci_modbus_status</t>
  </si>
  <si>
    <t>Wether open Modbus-RTU</t>
  </si>
  <si>
    <t>name</t>
  </si>
  <si>
    <t>sub_type</t>
  </si>
  <si>
    <t>The subtle number of the robot from startup to the current moment(Every second update)</t>
  </si>
  <si>
    <t>Gets all digital input IO values. The value of each bit: xxxxTTTTCCCCCCCCDDDDDDDDDDDDDDD. Explan: 'D' is digtal input IO; C is configurable input io; T is tool input io; x is NC.</t>
  </si>
  <si>
    <t>Gets all digital output IO values. The value of each bit: xxxxTTTTCCCCCCCCDDDDDDDDDDDDDDD. Explan: 'D' is digtal output IO; C is configurable output io; T is tool output io; x is NC.</t>
  </si>
  <si>
    <t>production_sub_len</t>
  </si>
  <si>
    <t>production_sub_type</t>
  </si>
  <si>
    <t>Type of sub-package = ROBOT_STATE_PACKAGE_TYPE_PRODUCTION_MODE = 9</t>
  </si>
  <si>
    <t>bytes</t>
  </si>
  <si>
    <t>Internal</t>
  </si>
  <si>
    <t>ELITE Internal Use</t>
  </si>
  <si>
    <t>tool_comm_type</t>
  </si>
  <si>
    <t>sub_len</t>
  </si>
  <si>
    <t>Subreport type = ROBOT_STATE_PACKAGE_TYPE_PRODUCTION_MODE_DATA = 14</t>
  </si>
  <si>
    <t>Robot State Package Format</t>
  </si>
  <si>
    <t>4 bytes</t>
  </si>
  <si>
    <t>1 bytes</t>
  </si>
  <si>
    <t>Type of sub-package</t>
  </si>
  <si>
    <t>n bytes</t>
  </si>
  <si>
    <t>Sub-package data</t>
  </si>
  <si>
    <t>……</t>
  </si>
  <si>
    <t>Operational Mode</t>
  </si>
  <si>
    <t>NONE = -1</t>
  </si>
  <si>
    <t>AUTOMATIC = 0</t>
  </si>
  <si>
    <t>MANUAL = 1</t>
  </si>
  <si>
    <t>Voltage</t>
  </si>
  <si>
    <t>Explain</t>
  </si>
  <si>
    <t>VOLTAGE_0_LEVEL = 0</t>
  </si>
  <si>
    <t>0v output voltage</t>
  </si>
  <si>
    <t>VOLTAGE_12_LEVEL = 12</t>
  </si>
  <si>
    <t>12v output voltage</t>
  </si>
  <si>
    <t>VOLTAGE_24_LEVEL = 24</t>
  </si>
  <si>
    <t>24v output voltage</t>
  </si>
  <si>
    <t>Mode</t>
  </si>
  <si>
    <t>SAFETY_MODE_NORMAL = 1</t>
  </si>
  <si>
    <t>SAFETY_MODE_REDUCED = 2</t>
  </si>
  <si>
    <t>SAFETY_MODE_PROTECTIVE_STOP = 3</t>
  </si>
  <si>
    <t>SAFETY_MODE_RECOVERY = 4</t>
  </si>
  <si>
    <t>SAFETY_MODE_SAFEGUARD_STOP = 5</t>
  </si>
  <si>
    <t>SAFETY_MODE_SYSTEM_EMERGENCY_STOP = 6</t>
  </si>
  <si>
    <t>SAFETY_MODE_ROBOT_EMERGENCY_STOP = 7</t>
  </si>
  <si>
    <t>SAFETY_MODE_VIOLATION = 8</t>
  </si>
  <si>
    <t>SAFETY_MODE_FAULT = 9</t>
  </si>
  <si>
    <t>SAFETY_MODE_VALIDATE_JOINT_ID = 10</t>
  </si>
  <si>
    <t>SAFETY_MODE_UNDEFINED_SAFETY_MODE = 11</t>
  </si>
  <si>
    <t>SAFETY_MODE_AUTOMATIC_MODE_SAFEGUARD_STOP = 12</t>
  </si>
  <si>
    <t>SAFETY_MODE_SYSTEM_THREE_POSITION_ENABLING_STOP = 13</t>
  </si>
  <si>
    <t>CURRENT = 0</t>
  </si>
  <si>
    <t>Current mode, range in 0.004-0.02A</t>
  </si>
  <si>
    <t>VOLTAGE = 1</t>
  </si>
  <si>
    <t>Voltage mode, range in 0-10v</t>
  </si>
  <si>
    <t>ROBOT_TYPE_6203 = 6203</t>
  </si>
  <si>
    <t>CS63</t>
  </si>
  <si>
    <t>ROBOT_TYPE_6206 = 6206</t>
  </si>
  <si>
    <t>CS66</t>
  </si>
  <si>
    <t>ROBOT_TYPE_6212 = 6212</t>
  </si>
  <si>
    <t>CS612</t>
  </si>
  <si>
    <t>MODE_RESET = 235</t>
  </si>
  <si>
    <t>Reset | Tool mode works</t>
  </si>
  <si>
    <t>MODE_SHUTTING_DOWN = 236</t>
  </si>
  <si>
    <t>Close | Tool mode works</t>
  </si>
  <si>
    <t>MODE_BACKDRIVE = 238</t>
  </si>
  <si>
    <t>Back drive</t>
  </si>
  <si>
    <t>MODE_POWER_OFF = 239</t>
  </si>
  <si>
    <t>Power off | Tool mode works</t>
  </si>
  <si>
    <t>MODE_READY_FOR_POWEROFF = 240</t>
  </si>
  <si>
    <t xml:space="preserve">Power off </t>
  </si>
  <si>
    <t>MODE_NOT_RESPONDING = 245</t>
  </si>
  <si>
    <t>Not responding | Tool mode works</t>
  </si>
  <si>
    <t>MODE_MOTOR_INITIALISATION = 246</t>
  </si>
  <si>
    <t>Motor initialization</t>
  </si>
  <si>
    <t>MODE_BOOTING = 247</t>
  </si>
  <si>
    <t>Be launching | Tool mode works</t>
  </si>
  <si>
    <t>MODE_BOOTLOADER = 249</t>
  </si>
  <si>
    <t>BootLoader | Tool mode works</t>
  </si>
  <si>
    <t>MODE_VIOLATION = 251</t>
  </si>
  <si>
    <t>Violation state</t>
  </si>
  <si>
    <t>MODE_FAULT = 252</t>
  </si>
  <si>
    <t>Error | Tool mode works</t>
  </si>
  <si>
    <t>MODE_RUNNING = 253</t>
  </si>
  <si>
    <t>Running | Tool mode works</t>
  </si>
  <si>
    <t>MODE_IDLE = 255</t>
  </si>
  <si>
    <t>Idle  | Tool mode works</t>
  </si>
  <si>
    <t>CONTROL_MODE_POSITION = 0</t>
  </si>
  <si>
    <t>Position</t>
  </si>
  <si>
    <t>CONTROL_MODE_TORQUE = 1</t>
  </si>
  <si>
    <t>Torque</t>
  </si>
  <si>
    <t>ROBOT_MODE_DISCONNECTED = 0</t>
  </si>
  <si>
    <t>No connect</t>
  </si>
  <si>
    <t>ROBOT_MODE_CONFIRM_SAFETY = 1</t>
  </si>
  <si>
    <t>Confirm the safety</t>
  </si>
  <si>
    <t>ROBOT_MODE_BOOTING = 2</t>
  </si>
  <si>
    <t>Initialize</t>
  </si>
  <si>
    <t>ROBOT_MODE_POWER_OFF = 3</t>
  </si>
  <si>
    <t>Power off</t>
  </si>
  <si>
    <t>ROBOT_MODE_POWER_ON = 4</t>
  </si>
  <si>
    <t>Power on</t>
  </si>
  <si>
    <t>ROBOT_MODE_IDLE = 5</t>
  </si>
  <si>
    <t>Leisure</t>
  </si>
  <si>
    <t>ROBOT_MODE_BACKDRIVE = 6</t>
  </si>
  <si>
    <t>Back driver</t>
  </si>
  <si>
    <t>ROBOT_MODE_RUNNING = 7</t>
  </si>
  <si>
    <t>Running</t>
  </si>
  <si>
    <t>ROBOT_MODE_UPDATING_FIRMWARE = 8</t>
  </si>
  <si>
    <t>Updating firmware</t>
  </si>
  <si>
    <t>ROBOT_MODE_WAITING_CALIBRATION = 9</t>
  </si>
  <si>
    <t>Watting callbration</t>
  </si>
  <si>
    <t>UNRESTRICTED = 0</t>
  </si>
  <si>
    <t>MANUAL_HIGH_SPEED = 1</t>
  </si>
  <si>
    <t>MANUAL_REDUCED_SPEED = 2</t>
  </si>
  <si>
    <t>tci_usage</t>
    <phoneticPr fontId="17" type="noConversion"/>
  </si>
  <si>
    <t>Tool TCI USAGE (0:Script Mode 1:Daemon Mode）</t>
    <phoneticPr fontId="17" type="noConversion"/>
  </si>
  <si>
    <t>reserver</t>
    <phoneticPr fontId="17" type="noConversion"/>
  </si>
  <si>
    <t>uint32_t</t>
    <phoneticPr fontId="17" type="noConversion"/>
  </si>
  <si>
    <t>message_len</t>
    <phoneticPr fontId="17" type="noConversion"/>
  </si>
  <si>
    <t>uint8_t</t>
    <phoneticPr fontId="17" type="noConversion"/>
  </si>
  <si>
    <t>message_type</t>
    <phoneticPr fontId="17" type="noConversion"/>
  </si>
  <si>
    <t>uint64_t</t>
    <phoneticPr fontId="17" type="noConversion"/>
  </si>
  <si>
    <t>source</t>
    <phoneticPr fontId="17" type="noConversion"/>
  </si>
  <si>
    <t>robot_message_type</t>
    <phoneticPr fontId="17" type="noConversion"/>
  </si>
  <si>
    <t>int32_t</t>
    <phoneticPr fontId="17" type="noConversion"/>
  </si>
  <si>
    <t>script_line</t>
    <phoneticPr fontId="17" type="noConversion"/>
  </si>
  <si>
    <t>script_column</t>
    <phoneticPr fontId="17" type="noConversion"/>
  </si>
  <si>
    <t>string</t>
    <phoneticPr fontId="17" type="noConversion"/>
  </si>
  <si>
    <t>exception_text_message</t>
    <phoneticPr fontId="17" type="noConversion"/>
  </si>
  <si>
    <t>n</t>
    <phoneticPr fontId="17" type="noConversion"/>
  </si>
  <si>
    <t>robot_message_type</t>
  </si>
  <si>
    <t>error_code</t>
    <phoneticPr fontId="17" type="noConversion"/>
  </si>
  <si>
    <t>sub_error_code</t>
    <phoneticPr fontId="17" type="noConversion"/>
  </si>
  <si>
    <t>level</t>
    <phoneticPr fontId="17" type="noConversion"/>
  </si>
  <si>
    <t>uint32</t>
    <phoneticPr fontId="17" type="noConversion"/>
  </si>
  <si>
    <t>data_type</t>
    <phoneticPr fontId="17" type="noConversion"/>
  </si>
  <si>
    <t>any</t>
    <phoneticPr fontId="17" type="noConversion"/>
  </si>
  <si>
    <t>data</t>
    <phoneticPr fontId="17" type="noConversion"/>
  </si>
  <si>
    <t>Type</t>
    <phoneticPr fontId="17" type="noConversion"/>
  </si>
  <si>
    <t>names</t>
    <phoneticPr fontId="17" type="noConversion"/>
  </si>
  <si>
    <t>bytes</t>
    <phoneticPr fontId="17" type="noConversion"/>
  </si>
  <si>
    <t>Description</t>
    <phoneticPr fontId="17" type="noConversion"/>
  </si>
  <si>
    <t>Description</t>
    <phoneticPr fontId="17" type="noConversion"/>
  </si>
  <si>
    <t>Length of whole package</t>
    <phoneticPr fontId="17" type="noConversion"/>
  </si>
  <si>
    <t>Length of whole package</t>
    <phoneticPr fontId="17" type="noConversion"/>
  </si>
  <si>
    <t>Type of package = MESSAGE_TYPE_ROBOT_STATE = 16</t>
    <phoneticPr fontId="17" type="noConversion"/>
  </si>
  <si>
    <t>Type of package = MESSAGE_TYPE_ROBOT_MESSAGE = 20</t>
    <phoneticPr fontId="17" type="noConversion"/>
  </si>
  <si>
    <t>Runtime Exception Package</t>
    <phoneticPr fontId="17" type="noConversion"/>
  </si>
  <si>
    <t>The subtle number of the robot from startup to the current moment (Every second update)</t>
    <phoneticPr fontId="17" type="noConversion"/>
  </si>
  <si>
    <t>The subtle number of the robot from startup to the current moment</t>
    <phoneticPr fontId="17" type="noConversion"/>
  </si>
  <si>
    <t>Line of script</t>
    <phoneticPr fontId="17" type="noConversion"/>
  </si>
  <si>
    <t>Column of script</t>
    <phoneticPr fontId="17" type="noConversion"/>
  </si>
  <si>
    <t>Detial of exception</t>
    <phoneticPr fontId="17" type="noConversion"/>
  </si>
  <si>
    <t>Robot Exception Package</t>
    <phoneticPr fontId="17" type="noConversion"/>
  </si>
  <si>
    <t>Package Head</t>
    <phoneticPr fontId="17" type="noConversion"/>
  </si>
  <si>
    <t>Package Head(5 bytes)</t>
    <phoneticPr fontId="17" type="noConversion"/>
  </si>
  <si>
    <t>Package Body</t>
    <phoneticPr fontId="17" type="noConversion"/>
  </si>
  <si>
    <t>Exception source</t>
    <phoneticPr fontId="17" type="noConversion"/>
  </si>
  <si>
    <t>Exception source = ROBOT_MESSAGE_SOURCE_RUNTIME_EXCEPTION = 10</t>
    <phoneticPr fontId="17" type="noConversion"/>
  </si>
  <si>
    <t>Exception type = ROBOT_MESSAGE_TYPE_ERROR_CODE = 6</t>
    <phoneticPr fontId="17" type="noConversion"/>
  </si>
  <si>
    <t>Exception type = ROBOT_MESSAGE_TYPE_RUNTIME_EXCEPTION = 10</t>
    <phoneticPr fontId="17" type="noConversion"/>
  </si>
  <si>
    <t>Exception code</t>
    <phoneticPr fontId="17" type="noConversion"/>
  </si>
  <si>
    <t>Exception level</t>
    <phoneticPr fontId="17" type="noConversion"/>
  </si>
  <si>
    <t>Data type of exception</t>
    <phoneticPr fontId="17" type="noConversion"/>
  </si>
  <si>
    <t>Data of Exeception</t>
    <phoneticPr fontId="17" type="noConversion"/>
  </si>
  <si>
    <t>SAFETY</t>
    <phoneticPr fontId="17" type="noConversion"/>
  </si>
  <si>
    <t>GUI</t>
    <phoneticPr fontId="17" type="noConversion"/>
  </si>
  <si>
    <t>CONTROLLER</t>
    <phoneticPr fontId="17" type="noConversion"/>
  </si>
  <si>
    <t>RTSI</t>
    <phoneticPr fontId="17" type="noConversion"/>
  </si>
  <si>
    <t>JOINT</t>
    <phoneticPr fontId="17" type="noConversion"/>
  </si>
  <si>
    <t>TOOL</t>
    <phoneticPr fontId="17" type="noConversion"/>
  </si>
  <si>
    <t>TP</t>
    <phoneticPr fontId="17" type="noConversion"/>
  </si>
  <si>
    <t>JOINT_FPGA</t>
    <phoneticPr fontId="17" type="noConversion"/>
  </si>
  <si>
    <t>TOOL_FPGA</t>
    <phoneticPr fontId="17" type="noConversion"/>
  </si>
  <si>
    <t>value</t>
    <phoneticPr fontId="17" type="noConversion"/>
  </si>
  <si>
    <t>Safety controller</t>
    <phoneticPr fontId="17" type="noConversion"/>
  </si>
  <si>
    <t>Controller</t>
    <phoneticPr fontId="17" type="noConversion"/>
  </si>
  <si>
    <t>RTSI protocol</t>
    <phoneticPr fontId="17" type="noConversion"/>
  </si>
  <si>
    <t>Joint</t>
    <phoneticPr fontId="17" type="noConversion"/>
  </si>
  <si>
    <t>Tool</t>
    <phoneticPr fontId="17" type="noConversion"/>
  </si>
  <si>
    <t>Tool FPGA</t>
    <phoneticPr fontId="17" type="noConversion"/>
  </si>
  <si>
    <t>Joint FPGA</t>
    <phoneticPr fontId="17" type="noConversion"/>
  </si>
  <si>
    <t>Teach pendant</t>
    <phoneticPr fontId="17" type="noConversion"/>
  </si>
  <si>
    <t>Teach pendant UI</t>
    <phoneticPr fontId="17" type="noConversion"/>
  </si>
  <si>
    <t>Exception sub-code</t>
    <phoneticPr fontId="17" type="noConversion"/>
  </si>
  <si>
    <t>Communication Alarm</t>
  </si>
  <si>
    <t>Exception code</t>
  </si>
  <si>
    <t>Exception sub-code</t>
  </si>
  <si>
    <t>0001</t>
  </si>
  <si>
    <t>000</t>
  </si>
  <si>
    <t>001</t>
  </si>
  <si>
    <t>Tool communication failureUnable to communicate with the tool.</t>
  </si>
  <si>
    <t>002</t>
  </si>
  <si>
    <t>[Slave] {joint} joint communication failureUnable to communicate with the joint.</t>
  </si>
  <si>
    <t>003</t>
  </si>
  <si>
    <t>{joint} joint communication failureUnable to communicate with the joint.</t>
  </si>
  <si>
    <t>004</t>
  </si>
  <si>
    <t>Robot communication failureUnable to communicate with the robot.</t>
  </si>
  <si>
    <t>0002</t>
  </si>
  <si>
    <t>Emergency Stop Alarm</t>
  </si>
  <si>
    <t>Robot emergency stop(1) Emergency stop button pressed. (2) Masterboard emergency stop IO is triggered.</t>
  </si>
  <si>
    <t>System emergency stopConfigurable emergency stop IO is triggered.</t>
  </si>
  <si>
    <t>0003</t>
  </si>
  <si>
    <t>Calibration Alarm</t>
  </si>
  <si>
    <t>Robot calibration failed, error: {float} exceeded maximum limit: 5The accuracy error of calibration point is too large.</t>
  </si>
  <si>
    <t>Tool calibration failedThe accuracy of tool calibration points is poor or the position is similar.</t>
  </si>
  <si>
    <t>Robot joint zero position lostThe robot has not been calibrated.</t>
  </si>
  <si>
    <t>005</t>
  </si>
  <si>
    <t>Robot calibration failedAn error occurred during robot calibration.</t>
  </si>
  <si>
    <t>006</t>
  </si>
  <si>
    <t>Current robot structure does not support calibrationThe current robot structure type is incorrect.</t>
  </si>
  <si>
    <t>007</t>
  </si>
  <si>
    <t>Insufficient number of calibration reference pointsThere are less than 20 calibration points.</t>
  </si>
  <si>
    <t>0004</t>
  </si>
  <si>
    <t>Brake Release Alarm</t>
  </si>
  <si>
    <t>Robot can't release the brakesFail to release the brakes.</t>
  </si>
  <si>
    <t>0006</t>
  </si>
  <si>
    <t>Safety System Alarm</t>
  </si>
  <si>
    <t>{joint} is close to joint soft limitJoint position is close to joint soft limit.</t>
  </si>
  <si>
    <t>{joint} exceeds joint soft limitJoint position exceeds joint soft limit.</t>
  </si>
  <si>
    <t>Close to safety planeTool position close to safety plane.</t>
  </si>
  <si>
    <t>Exceeds the safety planeTool position exceeds safety plane.</t>
  </si>
  <si>
    <t>Close to safety planeElbow position close to safety plane.</t>
  </si>
  <si>
    <t>Exceeds the safety planeElbow position exceeds safety plane.</t>
  </si>
  <si>
    <t>Base joint speed ({float} °/s) is too fastBase joint speed exceeds safety speed limits.</t>
  </si>
  <si>
    <t>008</t>
  </si>
  <si>
    <t>Shoulder joint speed ({float} °/s) is too fastShoulder joint speed exceeds safety speed limits.</t>
  </si>
  <si>
    <t>009</t>
  </si>
  <si>
    <t>Elbow joint speed ({float} °/s) is too fastElbow joint speed exceeds safety speed limits.</t>
  </si>
  <si>
    <t>010</t>
  </si>
  <si>
    <t>Wrist1 joint speed ({float} °/s) is too fastWrist1 joint speed exceeds safety speed limits.</t>
  </si>
  <si>
    <t>011</t>
  </si>
  <si>
    <t>Wrist2 joint speed ({float} °/s) is too fastWrist2 joint speed exceeds safety speed limits.</t>
  </si>
  <si>
    <t>012</t>
  </si>
  <si>
    <t>Wrist3 joint speed ({float} °/s) is too fastWrist3 joint speed exceeds safety speed limits.</t>
  </si>
  <si>
    <t>013</t>
  </si>
  <si>
    <t>Tool speed ({float} mm/s) is too fastTool speed exceeds safety speed limits.</t>
  </si>
  <si>
    <t>014</t>
  </si>
  <si>
    <t>Elbow speed ({float} mm/s) is too fastElbow speed exceeds safety speed limits.</t>
  </si>
  <si>
    <t>016</t>
  </si>
  <si>
    <t>{joint} position limit violatedThe joint target position is too different from the actual position.</t>
  </si>
  <si>
    <t>017</t>
  </si>
  <si>
    <t>The controller will enter the RECOVERY modeThe robot safety mode is in a violation state. The safety parameters restrictions will no longer take effect. Please ensure safety when using the robot.</t>
  </si>
  <si>
    <t>018</t>
  </si>
  <si>
    <t>The reduced mode safety IO input signal is inconsistent.Safety IO input signal is inconsistent.</t>
  </si>
  <si>
    <t>019</t>
  </si>
  <si>
    <t>The emergency stop safety IO input signal is inconsistent.Safety IO input signal is inconsistent.</t>
  </si>
  <si>
    <t>020</t>
  </si>
  <si>
    <t>The operational mode safety IO input signal is inconsistent.Safety IO input signal is inconsistent.</t>
  </si>
  <si>
    <t>021</t>
  </si>
  <si>
    <t>The auto mode safeguard stop safety IO input signal is inconsistent.Safety IO input signal is inconsistent.</t>
  </si>
  <si>
    <t>022</t>
  </si>
  <si>
    <t>The auto mode safeguard stop reset safety IO input signal is inconsistent.Safety IO input signal is inconsistent.</t>
  </si>
  <si>
    <t>023</t>
  </si>
  <si>
    <t>The safeguard stop reset safety IO input signal is inconsistent.Safety IO input signal is inconsistent.</t>
  </si>
  <si>
    <t>024</t>
  </si>
  <si>
    <t>The three position enabling safety IO input signal is inconsistent.Safety IO input signal is inconsistent.</t>
  </si>
  <si>
    <t>025</t>
  </si>
  <si>
    <t>The masterboard emergency stop safety IO input signal is inconsistent.Safety IO input signal is inconsistent.</t>
  </si>
  <si>
    <t>026</t>
  </si>
  <si>
    <t>The masterboard safeguard stop safety IO input signal is inconsistent.Safety IO input signal is inconsistent.</t>
  </si>
  <si>
    <t>027</t>
  </si>
  <si>
    <t>The Teach Pendant emergency stop IO input signal is inconsistent.</t>
  </si>
  <si>
    <t>030</t>
  </si>
  <si>
    <t>Tool force is beyond max limitThe force of the robot tool exceeds the safety limit.</t>
  </si>
  <si>
    <t>031</t>
  </si>
  <si>
    <t>Elbow force is beyond max limitThe force of the robot elbow exceeds the safety limit.</t>
  </si>
  <si>
    <t>032</t>
  </si>
  <si>
    <t>Robot's power on environment is over max limitThe power of the robot to the environment exceeds the safety limit.</t>
  </si>
  <si>
    <t>033</t>
  </si>
  <si>
    <t>Robot's momentum is over max limitThe momentum of the robot exceeds the safety limit.</t>
  </si>
  <si>
    <t>034</t>
  </si>
  <si>
    <t>The robot consumes too much power.The robot moves in Cartesian space near the singularity zone.</t>
  </si>
  <si>
    <t>040</t>
  </si>
  <si>
    <t>Fail to turn on the robot 48v power.Robot 48v power can't be controlled.</t>
  </si>
  <si>
    <t>041</t>
  </si>
  <si>
    <t>Fail to turn off the robot 48v power.Robot 48v power can't be controlled.</t>
  </si>
  <si>
    <t>042</t>
  </si>
  <si>
    <t>Robot is disconnect.Robot is disconnect.</t>
  </si>
  <si>
    <t>043</t>
  </si>
  <si>
    <t>{joint} serial number binding check failed.1. The controller is not bound to the robot. 2. The robot connected to the controller is not its bound robot. 3. The robot has replaced joint hardware.</t>
  </si>
  <si>
    <t>044</t>
  </si>
  <si>
    <t>Tool IO serial number binding check failed.1. The controller is not bound to the robot. 2. The robot connected to the controller is not its bound robot. 3. The robot has replaced joint hardware.</t>
  </si>
  <si>
    <t>045</t>
  </si>
  <si>
    <t>No dynamic data of robot joints. Error Info:{string}1. The joint is not subject to dynamic identification or identification data is not written. 2. Joint data is corrupt.</t>
  </si>
  <si>
    <t>046</t>
  </si>
  <si>
    <t>For the initial configuration of dynamics data, please restart the robot to complete the configuration.1. Dynamic data is configured for the first time.</t>
  </si>
  <si>
    <t>047</t>
  </si>
  <si>
    <t>{joint} dynamics data does not match the configuration file.1. The robot connected to the controller is not its bound robot. 2. Joint internal data or configuration file data is corrupt. 3. The robot has replaced joint hardware.</t>
  </si>
  <si>
    <t>100</t>
  </si>
  <si>
    <t>Safety Board Alarm: {string}Safety board is in violation state.</t>
  </si>
  <si>
    <t>0007</t>
  </si>
  <si>
    <t>Dynamics Alarm</t>
  </si>
  <si>
    <t>Free drive mode started failed.Dynamics initialization failed.</t>
  </si>
  <si>
    <t>Robot is not in RUNNING mode, free drive mode started failedThe robot's brakes are engaged.</t>
  </si>
  <si>
    <t>The robot mounting verification failed.The actual mounting of the robot is inconsistent with the configuration.</t>
  </si>
  <si>
    <t>Unknown robot structure typeThe current robot structure type is incorrect.</t>
  </si>
  <si>
    <t>Unknown robot typeThe current robot type is incorrect.</t>
  </si>
  <si>
    <t>Failed to enable dynamic functionThe dynamic function is disabled since dynamic model check failed.</t>
  </si>
  <si>
    <t>Failed to start free drive modeThe dynamic function is disabled since dynamic model check failed.</t>
  </si>
  <si>
    <t>Startup stage of free drive mode is abnormalThe joint speed of drag startup stage is too fast.</t>
  </si>
  <si>
    <t>Startup stage of free drive mode is abnormalThe joint torque of drag startup stage is abnormal.</t>
  </si>
  <si>
    <t>0008</t>
  </si>
  <si>
    <t>Record Path Alarm</t>
  </si>
  <si>
    <t>Failed to record pathThe recorded path is to short.</t>
  </si>
  <si>
    <t>0009</t>
  </si>
  <si>
    <t>Teach Pendant Alarm</t>
  </si>
  <si>
    <t>Teach pendant disconnected1. The teach pendant is pulled out. 2. The teach pendant communication is unstable. 3. The teaching pendant cable is damaged.</t>
  </si>
  <si>
    <t>Teach pendant is in alarm, alarm code: {signed}</t>
  </si>
  <si>
    <t>The current safety hardware config prohibits connecting to the teach pendant.The current safety hardware config is set to NO TEACH PENDANT mode, but a teach pendant is connected.</t>
  </si>
  <si>
    <t>0010</t>
  </si>
  <si>
    <t>File System Alarm</t>
  </si>
  <si>
    <t>Cannot delete fileThe file does not exist or is occupied.</t>
  </si>
  <si>
    <t>Failed to open file {string}The file does not exist or is corrupt.</t>
  </si>
  <si>
    <t>0011</t>
  </si>
  <si>
    <t>Memory Alarm</t>
  </si>
  <si>
    <t>Failed to allocate memoryAn error occurred in controller software.</t>
  </si>
  <si>
    <t>Wrong memory pointer is freed: {hex}An error occurred in controller software.</t>
  </si>
  <si>
    <t>Pointer with value zero is freed: {hex}An error occurred in controller software.</t>
  </si>
  <si>
    <t>The pointer value is 0An error occurred in controller software.</t>
  </si>
  <si>
    <t>0012</t>
  </si>
  <si>
    <t>Servo Alarm</t>
  </si>
  <si>
    <t>Servo alarm: [{string}]</t>
  </si>
  <si>
    <t>{joint} overcurrentThe joint detects overcurrent.</t>
  </si>
  <si>
    <t>{joint} Abnormal zero position of joint current1. Incorrect setting of payload and acceleration parameters; 2. The payload is too large and exceeds the load characteristic curve; 3. Mechanical jamming caused by impact, joint brake not opened, etc; 4. The hardware of the joint driver is damaged;</t>
  </si>
  <si>
    <t>{joint} Joint driver overcurrent1. Incorrect setting of payload and acceleration parameters; 2. The payload is too large and exceeds the load characteristic curve; 3. Mechanical jamming caused by impact, joint brake not opened, etc; 4. The hardware of the joint driver is damaged;</t>
  </si>
  <si>
    <t>{joint} Joint motor overcurrent1. Incorrect setting of payload and acceleration parameters; 2. The payload is too large and exceeds the load characteristic curve; 3. Mechanical jamming caused by impact, joint brake not opened, etc; 4. The hardware of the joint driver is damaged;</t>
  </si>
  <si>
    <t>{joint} The deviation between the actual joint and the target position is too large1. Incorrect setting of payload and acceleration parameters; 2. The payload is too large and exceeds the load characteristic curve; 3. Mechanical jamming caused by impact, joint brake not opened, etc; 4. The hardware of the joint driver is damaged;</t>
  </si>
  <si>
    <t>{joint} Joint e-stop state1.The e-stop button of the teach pendant is pressed; 2. False alarm of e-stop caused by external interference;</t>
  </si>
  <si>
    <t>050</t>
  </si>
  <si>
    <t>{joint} Abnormal communication, bus verification failed.1. Communication verification failed;</t>
  </si>
  <si>
    <t>052</t>
  </si>
  <si>
    <t>{joint} Abnormal communication,data from master station os not received.</t>
  </si>
  <si>
    <t>060</t>
  </si>
  <si>
    <t>{joint} Abnormal joint encoder calibration1. The joint encoder cable is connected incorrectly, the cable maybe loose, or the cable is disturbed; 2. The relevant hardware of the joint encoder is disturbed, resulting in the incorrect value of the joint encoder;</t>
  </si>
  <si>
    <t>062</t>
  </si>
  <si>
    <t>{joint} Abnormal joint encoder count1.The joint encoder is not calibrated or calibration failed;</t>
  </si>
  <si>
    <t>063</t>
  </si>
  <si>
    <t>{joint} Abnormal joint motion sensor</t>
  </si>
  <si>
    <t>065</t>
  </si>
  <si>
    <t>{joint} Abnormal joint zero calibration</t>
  </si>
  <si>
    <t>070</t>
  </si>
  <si>
    <t>{joint} Abnormal motor encoder calibration1. The motor encoder is not calibrated or calibration failed;</t>
  </si>
  <si>
    <t>075</t>
  </si>
  <si>
    <t>{joint} Abnormal motor encoder count</t>
  </si>
  <si>
    <t>080</t>
  </si>
  <si>
    <t>{joint} Abnormal hall sensor</t>
  </si>
  <si>
    <t>082</t>
  </si>
  <si>
    <t>{joint} No hall mode init error.</t>
  </si>
  <si>
    <t>090</t>
  </si>
  <si>
    <t>{joint} Abnormal joint brake on</t>
  </si>
  <si>
    <t>094</t>
  </si>
  <si>
    <t>{joint} Abnormal joint brkae off</t>
  </si>
  <si>
    <t>101</t>
  </si>
  <si>
    <t>{joint} Joint collision</t>
  </si>
  <si>
    <t>110</t>
  </si>
  <si>
    <t>{joint} Joint overspeed</t>
  </si>
  <si>
    <t>120</t>
  </si>
  <si>
    <t>{joint} Joint bus overvoltage</t>
  </si>
  <si>
    <t>121</t>
  </si>
  <si>
    <t>{joint} Joint bus undervoltage</t>
  </si>
  <si>
    <t>130</t>
  </si>
  <si>
    <t>{joint} Joint overheating1. The payload is too large and exceeds the load characteristic curve; 2. The working environment temperature is too high;</t>
  </si>
  <si>
    <t>198</t>
  </si>
  <si>
    <t>{joint} Flash erase exception</t>
  </si>
  <si>
    <t>199</t>
  </si>
  <si>
    <t>{joint} Flash write exception</t>
  </si>
  <si>
    <t>200</t>
  </si>
  <si>
    <t>{joint} Flash not initialized</t>
  </si>
  <si>
    <t>201</t>
  </si>
  <si>
    <t>{joint}'s internal parameters are abnormal.Due to abnormal power cut-off and other illegal operations.</t>
  </si>
  <si>
    <t>500</t>
  </si>
  <si>
    <t>[M] {joint} dual mcu commutation ini fault</t>
  </si>
  <si>
    <t>501</t>
  </si>
  <si>
    <t>[M] {joint} 3.3v power supply fault</t>
  </si>
  <si>
    <t>502</t>
  </si>
  <si>
    <t>[M] {joint} 12v power supply fault</t>
  </si>
  <si>
    <t>503</t>
  </si>
  <si>
    <t>[M] {joint} 5v power supply fault</t>
  </si>
  <si>
    <t>504</t>
  </si>
  <si>
    <t>[M] {joint} salve 3.3v power supply fault</t>
  </si>
  <si>
    <t>505</t>
  </si>
  <si>
    <t>[M] {joint} analogy 3.3v power supply fault</t>
  </si>
  <si>
    <t>506</t>
  </si>
  <si>
    <t>[M] {joint} dual mcu commutation crc fault</t>
  </si>
  <si>
    <t>507</t>
  </si>
  <si>
    <t>[M] {joint} dual mcu communication over time</t>
  </si>
  <si>
    <t>508</t>
  </si>
  <si>
    <t>[M] {joint} hall signal validation error</t>
  </si>
  <si>
    <t>509</t>
  </si>
  <si>
    <t>[M] {joint} joint encoder validation error</t>
  </si>
  <si>
    <t>510</t>
  </si>
  <si>
    <t>[M] {joint} acceleration sensor validation error</t>
  </si>
  <si>
    <t>511</t>
  </si>
  <si>
    <t>[M] {joint} motor encoder validation error</t>
  </si>
  <si>
    <t>512</t>
  </si>
  <si>
    <t>[M] {joint} DC bus voltage validation error</t>
  </si>
  <si>
    <t>513</t>
  </si>
  <si>
    <t>[M] {joint} motor current validation error</t>
  </si>
  <si>
    <t>521</t>
  </si>
  <si>
    <t>{joint} emergency stop over time.Joint emergency stop failed.</t>
  </si>
  <si>
    <t>522</t>
  </si>
  <si>
    <t>{joint} safeguard stop over timeJoint safeguard stop failed.</t>
  </si>
  <si>
    <t>600</t>
  </si>
  <si>
    <t>[S] {joint} dual mcu commutation ini fault</t>
  </si>
  <si>
    <t>601</t>
  </si>
  <si>
    <t>[S] {joint} 3.3v power supply fault</t>
  </si>
  <si>
    <t>602</t>
  </si>
  <si>
    <t>[S] {joint} 12v power supply fault</t>
  </si>
  <si>
    <t>603</t>
  </si>
  <si>
    <t>[S] {joint} 5v power supply fault</t>
  </si>
  <si>
    <t>604</t>
  </si>
  <si>
    <t>[S] {joint} salve 3.3v power supply fault</t>
  </si>
  <si>
    <t>605</t>
  </si>
  <si>
    <t>[S] {joint} analogy 3.3v power supply fault</t>
  </si>
  <si>
    <t>606</t>
  </si>
  <si>
    <t>[S] {joint} dual MCU commutation crc fault</t>
  </si>
  <si>
    <t>607</t>
  </si>
  <si>
    <t>[S] {joint} dual MCU communication over time</t>
  </si>
  <si>
    <t>610</t>
  </si>
  <si>
    <t>[S] {joint} slave MCU communication crc error.</t>
  </si>
  <si>
    <t>611</t>
  </si>
  <si>
    <t>[S] {joint} slave MCU communication over time.</t>
  </si>
  <si>
    <t>701</t>
  </si>
  <si>
    <t>{joint} Abnormal motor encoder calibration.Motor disconnection.</t>
  </si>
  <si>
    <t>702</t>
  </si>
  <si>
    <t>{joint} Abnormal motor encoder calibration.Motor wire sequence.</t>
  </si>
  <si>
    <t>703</t>
  </si>
  <si>
    <t>{joint} Abnormal motor encoder calibration.Motor encoder disconnected.</t>
  </si>
  <si>
    <t>704</t>
  </si>
  <si>
    <t>{joint} Abnormal motor encoder calibration.Brake system stuck.</t>
  </si>
  <si>
    <t>705</t>
  </si>
  <si>
    <t>{joint} Abnormal motor encoder calibration.Hall line sequence.</t>
  </si>
  <si>
    <t>706</t>
  </si>
  <si>
    <t>{joint} Abnormal motor encoder calibration.Z Index abnormality.</t>
  </si>
  <si>
    <t>711</t>
  </si>
  <si>
    <t>{joint} Z Index abnormal startup.Z Abnormal interval.</t>
  </si>
  <si>
    <t>712</t>
  </si>
  <si>
    <t>{joint} Z Index abnormal startup.Z Adjacent area error.</t>
  </si>
  <si>
    <t>901</t>
  </si>
  <si>
    <t>{joint} joint abnormal brake on.The coil is short circuited.</t>
  </si>
  <si>
    <t>902</t>
  </si>
  <si>
    <t>{joint} joint abnormal brake on.The coil is open.</t>
  </si>
  <si>
    <t>903</t>
  </si>
  <si>
    <t>{joint} joint abnormal brake on.The brake is stuck.</t>
  </si>
  <si>
    <t>904</t>
  </si>
  <si>
    <t>{joint} joint abnormal brake on.Torque error exceeds threshold.</t>
  </si>
  <si>
    <t>0013</t>
  </si>
  <si>
    <t>Collision Alarm</t>
  </si>
  <si>
    <t>Robot's {joint} is in collision.(1) The robot detected a collision. (2) The robot is mounting type or the payload parameters are set incorrectly.</t>
  </si>
  <si>
    <t>0015</t>
  </si>
  <si>
    <t>System Alarm</t>
  </si>
  <si>
    <t>The controller has encountered an error and has recovered.An error occurred in the controller.</t>
  </si>
  <si>
    <t>Failed to run task script.When running the task script, the robot is not in RUNNING state.</t>
  </si>
  <si>
    <t>Fail to load the robot configuration file.The robot configuration file is missing or corrupt.</t>
  </si>
  <si>
    <t>The robot type in configuration file is different from user setting.The user modified the robot type.</t>
  </si>
  <si>
    <t>The system is currently in an unstable state.</t>
  </si>
  <si>
    <t>The current connected robot type mismatch, joint types: [{string}].The current joint size does not match the robot type.</t>
  </si>
  <si>
    <t>Unknown robot type.The robot type is not configured.</t>
  </si>
  <si>
    <t>{joint} joint parameters in config file doesn't match the parameters in joint firmware.(1) The joint config file is corrupted. (2) An internal error occurred in the joint firmware.</t>
  </si>
  <si>
    <t>The robot controller is in error state, error code: '{signed}'.The robot controller is in error state.</t>
  </si>
  <si>
    <t>Please power on the robot first.The robot is not powered on.</t>
  </si>
  <si>
    <t>The current performance consumption of the system is too high.The system performance occupied by the current running task is too high.</t>
  </si>
  <si>
    <t>Lost communication with EliRobot.An abnormality occurred in the EliRobot system.</t>
  </si>
  <si>
    <t>0016</t>
  </si>
  <si>
    <t>Bus Alarm</t>
  </si>
  <si>
    <t>Profinet IO module not plug</t>
  </si>
  <si>
    <t>Profinet REG1 module not plug</t>
  </si>
  <si>
    <t>Profinet REG2 module not plug</t>
  </si>
  <si>
    <t>0017</t>
  </si>
  <si>
    <t>RTSI Watchdog Alarm</t>
  </si>
  <si>
    <t>INFO</t>
    <phoneticPr fontId="17" type="noConversion"/>
  </si>
  <si>
    <t>WARNING</t>
    <phoneticPr fontId="17" type="noConversion"/>
  </si>
  <si>
    <t>ERROR</t>
    <phoneticPr fontId="17" type="noConversion"/>
  </si>
  <si>
    <t>SEGMENT_FAULT</t>
    <phoneticPr fontId="17" type="noConversion"/>
  </si>
  <si>
    <t>Info message</t>
    <phoneticPr fontId="17" type="noConversion"/>
  </si>
  <si>
    <t>Warning message</t>
    <phoneticPr fontId="17" type="noConversion"/>
  </si>
  <si>
    <t>Error message</t>
    <phoneticPr fontId="17" type="noConversion"/>
  </si>
  <si>
    <t>Critical error message</t>
    <phoneticPr fontId="17" type="noConversion"/>
  </si>
  <si>
    <t>None</t>
    <phoneticPr fontId="17" type="noConversion"/>
  </si>
  <si>
    <t>Unsigned</t>
    <phoneticPr fontId="17" type="noConversion"/>
  </si>
  <si>
    <t>Signed</t>
    <phoneticPr fontId="17" type="noConversion"/>
  </si>
  <si>
    <t>Float</t>
    <phoneticPr fontId="17" type="noConversion"/>
  </si>
  <si>
    <t>float</t>
    <phoneticPr fontId="17" type="noConversion"/>
  </si>
  <si>
    <t>Hex</t>
    <phoneticPr fontId="17" type="noConversion"/>
  </si>
  <si>
    <t>String</t>
    <phoneticPr fontId="17" type="noConversion"/>
  </si>
  <si>
    <t>type</t>
    <phoneticPr fontId="17" type="noConversion"/>
  </si>
  <si>
    <t>Unknow type or None type</t>
    <phoneticPr fontId="17" type="noConversion"/>
  </si>
  <si>
    <t>unsigned integer</t>
    <phoneticPr fontId="17" type="noConversion"/>
  </si>
  <si>
    <t>signed integer</t>
    <phoneticPr fontId="17" type="noConversion"/>
  </si>
  <si>
    <t>real number</t>
    <phoneticPr fontId="17" type="noConversion"/>
  </si>
  <si>
    <t>unsigned integer (It is recommended to represent this number in hexadecimal.)</t>
    <phoneticPr fontId="17" type="noConversion"/>
  </si>
  <si>
    <t>Joint exception code</t>
    <phoneticPr fontId="17" type="noConversion"/>
  </si>
  <si>
    <t>Runtime Error Message</t>
  </si>
  <si>
    <t>add_thread_to_pool</t>
  </si>
  <si>
    <t>Cannot create thread: All {n:int} allowed threads are used by the program</t>
  </si>
  <si>
    <t>acos_asin_range</t>
  </si>
  <si>
    <t>{function}: Input value must be in the range [-1, 1], input was {val:float}</t>
  </si>
  <si>
    <t>inv_kin_singularity</t>
  </si>
  <si>
    <t>Unable to find an inverse kinematics solution. The robot cannot reach the requested pose.</t>
  </si>
  <si>
    <t>inv_kin_arg</t>
  </si>
  <si>
    <t>{function}: Parameter must be a Pose on the form p[x,y,z,a,b,c]</t>
  </si>
  <si>
    <t>inv_kin_arg_qnear</t>
  </si>
  <si>
    <t>{function}: Parameter qnear must be a list of six joint positions</t>
  </si>
  <si>
    <t>inv_kin_convergence</t>
  </si>
  <si>
    <t>The robot cannot reach the requested pose. Script function {function} is unable to find an inverse kinematics solution.</t>
  </si>
  <si>
    <t>get_list_length_arg</t>
  </si>
  <si>
    <t>{function}: Parameter must be a list</t>
  </si>
  <si>
    <t>log_param_neg</t>
  </si>
  <si>
    <t>{function}: Input values must be positive</t>
  </si>
  <si>
    <t>log_param_1</t>
  </si>
  <si>
    <t>{function}: Base cannot be 1</t>
  </si>
  <si>
    <t>norm_param_type</t>
  </si>
  <si>
    <t>{function}: Parameter to norm must be a number or a Pose or a List</t>
  </si>
  <si>
    <t>pow_frac_power</t>
  </si>
  <si>
    <t>{function}: Cannot calculate fractional power of negative number</t>
  </si>
  <si>
    <t>pow_neg_power</t>
  </si>
  <si>
    <t>{function}: Cannot calculate negative power of zero</t>
  </si>
  <si>
    <t>set_conveyor_tick_value</t>
  </si>
  <si>
    <t>{function}: Value must be in the range [0:{max:int}] for circular conveyors</t>
  </si>
  <si>
    <t>set_payload_param</t>
  </si>
  <si>
    <t>{function}: Invalid parameter type</t>
  </si>
  <si>
    <t>set_payload_mass_out_of_range</t>
  </si>
  <si>
    <t>Setted payload mass value must be in the range: [0:{max:float}] KG</t>
  </si>
  <si>
    <t>sqrt_neg</t>
  </si>
  <si>
    <t>{function}: Cannot calculate square root of a negative number</t>
  </si>
  <si>
    <t>set_conveyor_pulse_mode</t>
  </si>
  <si>
    <t>{function}: Invalid mode: {n:int}</t>
  </si>
  <si>
    <t>set_conveyor_pulse_input</t>
  </si>
  <si>
    <t>{function}: Illegal address for input {input}</t>
  </si>
  <si>
    <t>set_conveyor_tick_count_not_allowed</t>
  </si>
  <si>
    <t>{function}: Not allowed when using the encoder inputs</t>
  </si>
  <si>
    <t>secondary_program_queue_full</t>
  </si>
  <si>
    <t>Queue for secondary programs full</t>
  </si>
  <si>
    <t>critical_sections_cant_be_nested</t>
  </si>
  <si>
    <t>Runtime error: Critical sections cannot be nested!</t>
  </si>
  <si>
    <t>critical_sections_exit</t>
  </si>
  <si>
    <t>Runtime error: Exit critical section called while not inside a critical section!</t>
  </si>
  <si>
    <t>jump_address_error</t>
  </si>
  <si>
    <t>Address error: Illegal jump to '{code_line:int}'</t>
  </si>
  <si>
    <t>variable_is_uninitialized</t>
  </si>
  <si>
    <t>Value error: '{var_name}' is not initialized to a value</t>
  </si>
  <si>
    <t>reference_is_void</t>
  </si>
  <si>
    <t>Value error: void reference: Attempted to use an uninitialized variable</t>
  </si>
  <si>
    <t>resizing_list_error</t>
  </si>
  <si>
    <t>Runtime error: resizing of lists is unsupported</t>
  </si>
  <si>
    <t>dereferencing_not_supported</t>
  </si>
  <si>
    <t>Type error: object does not support dereferencing</t>
  </si>
  <si>
    <t>make_list_type_error</t>
  </si>
  <si>
    <t>Type error: a list cannot contain this data type: {type}</t>
  </si>
  <si>
    <t>make_list_multiple_type_error</t>
  </si>
  <si>
    <t>Type error: List of type: '{list_type}' cannot contain element {i:int} of type '{type}'</t>
  </si>
  <si>
    <t>blend_radius_too_small</t>
  </si>
  <si>
    <t>{function}: Blend radius too small</t>
  </si>
  <si>
    <t>move_argument_error</t>
  </si>
  <si>
    <t>{function}: Arguments 'a' and 'v' must be positive</t>
  </si>
  <si>
    <t>move_argument_type</t>
  </si>
  <si>
    <t>{function}: Target variable with type '{argument_name}' must be a pose or a list of six joint positions</t>
  </si>
  <si>
    <t>trajectory_is_scaled</t>
  </si>
  <si>
    <t>{function}: Cannot move at the specified speed due to safety limits</t>
  </si>
  <si>
    <t>pathj_input_path_length_error</t>
  </si>
  <si>
    <t>{function}: Path must contain two or move positions</t>
  </si>
  <si>
    <t>pathj_input_path_blend_error</t>
  </si>
  <si>
    <t>{function}: Blend list must contain the number of positions in the path -2 blend radii</t>
  </si>
  <si>
    <t>lock_robot</t>
  </si>
  <si>
    <t>Another thread is already controlling the robot</t>
  </si>
  <si>
    <t>motion_thread_error</t>
  </si>
  <si>
    <t>Motion command is supported only in task main thread and it's son thread</t>
  </si>
  <si>
    <t>start_thread_error</t>
  </si>
  <si>
    <t>Thread command is supported only in task main thread and it's son thread</t>
  </si>
  <si>
    <t>vscaleascale</t>
  </si>
  <si>
    <t>Invalid input argument: {function}: Velocity scale '{vscale}' and acceleration scale '{ascale}' must be between 0 and 1</t>
  </si>
  <si>
    <t>blend_less_than_zero</t>
  </si>
  <si>
    <t>Invalid input argument: {function}: Blend {n:int} is less than zero, all blend radii must be zero or positive</t>
  </si>
  <si>
    <t>target_outside_limits</t>
  </si>
  <si>
    <t>Invalid input argument: {function}: Position {n:int} for joint {j:int} is outside joint limits</t>
  </si>
  <si>
    <t>pathj_positions_too_close</t>
  </si>
  <si>
    <t>Invalid input argument: {function}: Positions {m:int} and {n:int} are closer than {eps:double} to each other</t>
  </si>
  <si>
    <t>singularity</t>
  </si>
  <si>
    <t>Robot is in a singularity ({function})</t>
  </si>
  <si>
    <t>force_mode_singularity</t>
  </si>
  <si>
    <t>Force mode not possible in singularity</t>
  </si>
  <si>
    <t>invalid_force_mode_type</t>
  </si>
  <si>
    <t>Invalid force mode type, see script manual</t>
  </si>
  <si>
    <t>invalid_force_mode_gain_scaling</t>
  </si>
  <si>
    <t>Requested force mode gain scaling is outside allowed limits, see script manual</t>
  </si>
  <si>
    <t>invalid_force_mode_damping</t>
  </si>
  <si>
    <t>Requested force mode damping is outside allowed limits, see script manual</t>
  </si>
  <si>
    <t>force_mode_max_position_error</t>
  </si>
  <si>
    <t>Force mode:  Maximum position deviation exceeded</t>
  </si>
  <si>
    <t>force_mode_max_orientation_error</t>
  </si>
  <si>
    <t>Force mode:  Maximum orientation deviation exceeded</t>
  </si>
  <si>
    <t>force_mode_too_close_to_point</t>
  </si>
  <si>
    <t>Force mode: Too close to point</t>
  </si>
  <si>
    <t>configurableOutputInUseForSafety</t>
  </si>
  <si>
    <t>{function}: Configurable output IO[{index:int}] is safety IO, cannot be modified</t>
  </si>
  <si>
    <t>configurableInputInUseForSafety</t>
  </si>
  <si>
    <t>{function}: Configurable input IO[{index:int}] is safety IO, cannot be modified</t>
  </si>
  <si>
    <t>type_smaller_list_size</t>
  </si>
  <si>
    <t>'{function}' list argument size can not be smaller than {size:int}</t>
  </si>
  <si>
    <t>type_mismatch</t>
  </si>
  <si>
    <t>Type error: left-hand side of the expression expected type '{type1}' but found '{type2}'</t>
  </si>
  <si>
    <t>assignment_type_mismatch</t>
  </si>
  <si>
    <t>Type error: assignment expected type '{type1}' but found '{type2}'</t>
  </si>
  <si>
    <t>index_out_of_range</t>
  </si>
  <si>
    <t>Index out of range</t>
  </si>
  <si>
    <t>index_out_of_range_pose</t>
  </si>
  <si>
    <t>Pose index out of range, the pose type contains maximally 6 elements</t>
  </si>
  <si>
    <t>index_out_of_range_list</t>
  </si>
  <si>
    <t>Index out of range, the list size is smaller than {size:int}</t>
  </si>
  <si>
    <t>assignment_not_subscriptible</t>
  </si>
  <si>
    <t>Type error: The variable (type: '{type}') does not support indexed assignment</t>
  </si>
  <si>
    <t>unsubscriptible_object</t>
  </si>
  <si>
    <t>Type error: The variable of type '{operand}' is not indexable</t>
  </si>
  <si>
    <t>unknown_runtime_error</t>
  </si>
  <si>
    <t>Unknown error: {expl}</t>
  </si>
  <si>
    <t>compile_error_not_implemented_yet</t>
  </si>
  <si>
    <t xml:space="preserve">Compile error: '{function}' is not supported </t>
  </si>
  <si>
    <t>runtime_error_unknown_problem</t>
  </si>
  <si>
    <t>Runtime error: Unknown / unexpected error in the program: &lt;p&gt;{what}</t>
  </si>
  <si>
    <t>rpc_unknown_problem</t>
  </si>
  <si>
    <t>RPC: failed with unknown error: {str}</t>
  </si>
  <si>
    <t>rpc_cannot_connect</t>
  </si>
  <si>
    <t>RPC: Cannot connect to {host} on port {port:int} with protocol {protocool}</t>
  </si>
  <si>
    <t>rpc_parameter_type_not_supported</t>
  </si>
  <si>
    <t>RPC: parameter type "{type}" in controller not supported for making RPC</t>
  </si>
  <si>
    <t>rpc_return_type_not_supported</t>
  </si>
  <si>
    <t>RPC: return type "{type}" not supported by controller (script language)</t>
  </si>
  <si>
    <t>xmlrpc_unknown_problem</t>
  </si>
  <si>
    <t>XMLRPC: Failed with error code {code:int}: {description}</t>
  </si>
  <si>
    <t>xmlrpc_known_problem</t>
  </si>
  <si>
    <t>XMLRPC: Failed with exception: {description}</t>
  </si>
  <si>
    <t>rpc_did_not_finish</t>
  </si>
  <si>
    <t xml:space="preserve">RPC: Did not finish before completing. </t>
  </si>
  <si>
    <t>rpc_protocol_not_recognized</t>
  </si>
  <si>
    <t>RPC: protocol not recognized: {protocol}</t>
  </si>
  <si>
    <t>threadpool_full</t>
  </si>
  <si>
    <t>Not more worker threads available for processing</t>
  </si>
  <si>
    <t>thread_is_over_max_size</t>
  </si>
  <si>
    <t>Thread over the max size: {t_size}</t>
  </si>
  <si>
    <t>thread_create_failed</t>
  </si>
  <si>
    <t>Fail to start new thread</t>
  </si>
  <si>
    <t>rpc_factory_type_unknown</t>
  </si>
  <si>
    <t>RPC: Unknown RPC factory "{type}", please try: "xmlrpc"</t>
  </si>
  <si>
    <t>unsupported_list_comparison</t>
  </si>
  <si>
    <t>Unsupported list comparison</t>
  </si>
  <si>
    <t>set_conveyor_tick_count_invalid_resolution</t>
  </si>
  <si>
    <t>{function}: Invalid conveyor encoder resolution {resolution:int}</t>
  </si>
  <si>
    <t>track_conveyor_circular_invalid_tpr</t>
  </si>
  <si>
    <t>{function}: Invalid ticks_per_revolution {tpr:int}</t>
  </si>
  <si>
    <t>track_conveyor_linear_invalid_tpm</t>
  </si>
  <si>
    <t>{function}: Invalid ticks_per_meter {tpm:double}</t>
  </si>
  <si>
    <t>outside_of_address_range</t>
  </si>
  <si>
    <t>{id:int} is outside of the acceptable address range.</t>
  </si>
  <si>
    <t>velocity_profile_error</t>
  </si>
  <si>
    <t>Cannot generate a valid velocity profile for the requested movement (error code: {profile_id:int}:{profile_error:int})</t>
  </si>
  <si>
    <t>blend_interpolation_failed</t>
  </si>
  <si>
    <t>Blend interpolation failed, please change either the path or blend radius</t>
  </si>
  <si>
    <t>cal_equivaluent_axis_failed</t>
  </si>
  <si>
    <t>{function}: Fail to calculate equivaluent axis</t>
  </si>
  <si>
    <t>rtsi_watchdog_action_unknown</t>
  </si>
  <si>
    <t>The specified RTSI watchdog action is unknown</t>
  </si>
  <si>
    <t>input_variable_unknown</t>
  </si>
  <si>
    <t>The specified RTSI input variable ({var}) is unknown</t>
  </si>
  <si>
    <t>argument_out_of_range</t>
  </si>
  <si>
    <t>Runtime error: Function '{function}' argument '{argument}' out of range with value: '{value}'</t>
  </si>
  <si>
    <t>assignment_size_mismatch</t>
  </si>
  <si>
    <t>Runtime error: Resizing of '{type1}' is not supported</t>
  </si>
  <si>
    <t>invalid_argument_value</t>
  </si>
  <si>
    <t>Function '{function}' argument '{argument}' given value is invalid ('{value}')</t>
  </si>
  <si>
    <t>invalid_argument_value2</t>
  </si>
  <si>
    <t>Function '{function}' argument given value is invalid ('{value}')</t>
  </si>
  <si>
    <t>robot_feature_not_supported</t>
  </si>
  <si>
    <t>'{function}' is not supported by this robot!</t>
  </si>
  <si>
    <t>trajectory_instruction_in_freedrive_mode</t>
  </si>
  <si>
    <t>Runtime error: The robot cannot follow a trajectory while in freedrive mode</t>
  </si>
  <si>
    <t>zero_radius_in_circular_path</t>
  </si>
  <si>
    <t>Runtime error: Circular arc path has zero radius</t>
  </si>
  <si>
    <t>infinite_radius_in_circular_path</t>
  </si>
  <si>
    <t>Runtime error: Circular arc path has infinite radius</t>
  </si>
  <si>
    <t>movep_reversing</t>
  </si>
  <si>
    <t>Runtime error: MoveP cannot maintain speed when reversing direction. Adjust waypoints to make robot able to blend</t>
  </si>
  <si>
    <t>safety_speed_limit</t>
  </si>
  <si>
    <t>Runtime error: Cannot move at the specified speed due to safety limits</t>
  </si>
  <si>
    <t>accelerate_threshold_limit</t>
  </si>
  <si>
    <t>Runtime error: The acceleration threshold limit</t>
  </si>
  <si>
    <t>string_length_too_long</t>
  </si>
  <si>
    <t>The string "{str}..." is too long for the controller to handle</t>
  </si>
  <si>
    <t>string_is_empty</t>
  </si>
  <si>
    <t>Given source string is empty</t>
  </si>
  <si>
    <t>unknown_compile_error</t>
  </si>
  <si>
    <t>syntax_error</t>
  </si>
  <si>
    <t>Syntax error: {expl}</t>
  </si>
  <si>
    <t>syntax_error_on_line</t>
  </si>
  <si>
    <t>Syntax error on line {lineNumber:int}: {text}</t>
  </si>
  <si>
    <t>syntax_error_lexer</t>
  </si>
  <si>
    <t>Lexer exception on line {lineNumber:int}: {text}</t>
  </si>
  <si>
    <t>compile_error_function_id_unknown</t>
  </si>
  <si>
    <t>Compile error: Function id unknown (internal)</t>
  </si>
  <si>
    <t>compile_error_label_not_found</t>
  </si>
  <si>
    <t>Compile error: Label id {id:int} not found</t>
  </si>
  <si>
    <t>compile_error_name_not_found</t>
  </si>
  <si>
    <t>Compile error: name '{id}' is not defined</t>
  </si>
  <si>
    <t>compile_error_id_is_not_callable</t>
  </si>
  <si>
    <t>Compile error: '{id}' is not callable</t>
  </si>
  <si>
    <t>compile_error_continue_stmt_is_not_within_a_loop</t>
  </si>
  <si>
    <t>Compile error: continue statement not within loop</t>
  </si>
  <si>
    <t>compile_error_break_stmt_is_not_within_a_loop</t>
  </si>
  <si>
    <t>Compile error: break statement not within loop</t>
  </si>
  <si>
    <t>compile_error_stand_alone_expression_is_not_allowed</t>
  </si>
  <si>
    <t>Compile error: An expression was found which produces a result that is not used in the program</t>
  </si>
  <si>
    <t>parse_error_duplicate_argument_name</t>
  </si>
  <si>
    <t>Compile error: duplicate argument name '{name}' in function definition</t>
  </si>
  <si>
    <t>parse_error_duplicate_label</t>
  </si>
  <si>
    <t>Compile error: Duplicate label {id:int}</t>
  </si>
  <si>
    <t>rpc_named_variables</t>
  </si>
  <si>
    <t>RPC: XMLRPC does not support named variables.</t>
  </si>
  <si>
    <t>node_not_support_current_move_type</t>
  </si>
  <si>
    <t>Runtime error: Current node does not support the current movement type</t>
  </si>
  <si>
    <t>node_target_joints_invalid</t>
  </si>
  <si>
    <t>Runtime error: Target joints of current node is invalid</t>
  </si>
  <si>
    <t>node_start_joints_invalid</t>
  </si>
  <si>
    <t>Runtime error: Start joints of current node is invalid</t>
  </si>
  <si>
    <t>node_start_pose_and_target_pose_coincident</t>
  </si>
  <si>
    <t>Runtime error: Start pose of current node is coincident with target pose of current node</t>
  </si>
  <si>
    <t>node_start_pose_and_auxiliary_pose_coincident</t>
  </si>
  <si>
    <t>Runtime error: Start pose of current node is coincident with auxiliary pose of circle node</t>
  </si>
  <si>
    <t>node_auxiliary_pose_and_target_pose_coincident</t>
  </si>
  <si>
    <t>Runtime error: Target pose of current node is coincident with auxiliary pose of circle node</t>
  </si>
  <si>
    <t>unreachable_from_start_pose_to_target_pose</t>
  </si>
  <si>
    <t>Runtime error: Robot is unreachable from current start pose to current target pose</t>
  </si>
  <si>
    <t>start_pose_is_unreachable</t>
  </si>
  <si>
    <t>Runtime error: Robot can't reach the start pose of current node</t>
  </si>
  <si>
    <t>servoj_initialization_failed</t>
  </si>
  <si>
    <t>Runtime error: Servoj initialization is failed</t>
  </si>
  <si>
    <t>micro_line_not_find_file</t>
  </si>
  <si>
    <t>Runtime error: Robot can't find the micro line file with current micro line index</t>
  </si>
  <si>
    <t>micro_line_start_index_larger_than_end_index</t>
  </si>
  <si>
    <t>Runtime error: Start line index of current micro line file is larger than end line index</t>
  </si>
  <si>
    <t>micro_line_not_reach_start_pos</t>
  </si>
  <si>
    <t>Runtime error: Robot doesn't reach the start position of current mico line file</t>
  </si>
  <si>
    <t>transfer_trajectory_process_failure</t>
  </si>
  <si>
    <t>Runtime error: Transfer trajectory process failure</t>
  </si>
  <si>
    <t>position_in_singularity</t>
  </si>
  <si>
    <t>Runtime error: Robot can not move linear a singularity</t>
  </si>
  <si>
    <t>interpolation_process_failure</t>
  </si>
  <si>
    <t>Runtime error: Interpolation process failure</t>
  </si>
  <si>
    <t>common_script_error</t>
  </si>
  <si>
    <t>Script Error: {error_message}</t>
  </si>
  <si>
    <t>function_parameter_error</t>
  </si>
  <si>
    <t>Invalid parameters in script function: {error_message}</t>
  </si>
  <si>
    <t>function_running_error</t>
  </si>
  <si>
    <t>An error occurred while executing function '{function}'. Please check the correctness of function parameters and usage</t>
  </si>
  <si>
    <t>script_a_v_parameter_error</t>
  </si>
  <si>
    <t>Motion node's 'a' and 'v' must be greater than 0</t>
  </si>
  <si>
    <t>script_a_parameter_error</t>
  </si>
  <si>
    <t>Motion node's 'a' must be greater than 0</t>
  </si>
  <si>
    <t>script_t_parameter_error</t>
  </si>
  <si>
    <t>Motion node's 't' must be greater than or equal to 0</t>
  </si>
  <si>
    <t>script_unknown_error</t>
  </si>
  <si>
    <t>Unknown script error</t>
  </si>
  <si>
    <t>script_zero_division_error</t>
  </si>
  <si>
    <t>Division by zero</t>
  </si>
  <si>
    <t>script_os_error</t>
  </si>
  <si>
    <t>OS Error: ‘{error_msg}’</t>
  </si>
  <si>
    <t>script_name_error</t>
  </si>
  <si>
    <t>Variable name '{var_name}' is not defined</t>
  </si>
  <si>
    <t>unbound_local_error</t>
  </si>
  <si>
    <t>Variable '{var_name}' is not initialized</t>
  </si>
  <si>
    <t>connection_refused_error</t>
  </si>
  <si>
    <t>Connection is refused</t>
  </si>
  <si>
    <t>invalid_tool_digital_out_io</t>
  </si>
  <si>
    <t>Tool digital IO {index:int} is not configure as a enabled output IO</t>
  </si>
  <si>
    <t>invalid_tool_digital_in_io</t>
  </si>
  <si>
    <t>Tool digital IO {index:int} is not configure as a enabled input IO</t>
  </si>
  <si>
    <t>set_tool_voltage_value</t>
  </si>
  <si>
    <t>{function}: Tool voltage must be either 0, 12 or 24 V</t>
  </si>
  <si>
    <t>tool_serial_is_disabled</t>
  </si>
  <si>
    <t>{function}: Tool serial function is disabled</t>
  </si>
  <si>
    <t>tool_serial_in_modbus</t>
  </si>
  <si>
    <t>{function}: The tool serial port mode does not match and is currently in MODBUS-RTU mode</t>
  </si>
  <si>
    <t>tool_serial_not_usart_mode</t>
  </si>
  <si>
    <t>{function}: Tool analog IO is not in USART mode</t>
  </si>
  <si>
    <t>tool_serial_not_in_modbus</t>
  </si>
  <si>
    <t>{function}: The tool serial port mode does not match and is currently in non MODBUS-RTU mode</t>
  </si>
  <si>
    <t>tool_serial_modbus_open_fail</t>
  </si>
  <si>
    <t>{function}: MODBUS-RTU open fail</t>
  </si>
  <si>
    <t>tool_serial_cant_set_modbus</t>
  </si>
  <si>
    <t>Can't set MODBUS-RTU mode</t>
  </si>
  <si>
    <t>tool_serial_modbus_not_init</t>
  </si>
  <si>
    <t>MODBUS-RTU not open</t>
  </si>
  <si>
    <t>tool_serial_modbus_addr_error</t>
  </si>
  <si>
    <t>The value addr of MODBUS-RTU must be greater than or equal to 0</t>
  </si>
  <si>
    <t>tool_serial_modbus_read_too_many_data</t>
  </si>
  <si>
    <t>The modbus-RTU read length must be between 0 and 125</t>
  </si>
  <si>
    <t>tool_serial_modbus_write_too_many_data</t>
  </si>
  <si>
    <t>Modbus-rtu write length must be larger than 0 and smaller than 123</t>
  </si>
  <si>
    <t>tool_serial_modbus_write_bits_str_num</t>
  </si>
  <si>
    <t>when the parameter "data" in tool_modbus_write_bits() is string, the context of it must be number</t>
  </si>
  <si>
    <t>invalid_IO_port</t>
  </si>
  <si>
    <t>{function}: given port number is invalid ({port_number:int})</t>
  </si>
  <si>
    <t>invalid_IO_port_list_length</t>
  </si>
  <si>
    <t>{function}: port list too long</t>
  </si>
  <si>
    <t>unsupported_IO_domain</t>
  </si>
  <si>
    <t>{function}: invalid analog io domain specified ({domain:int})</t>
  </si>
  <si>
    <t>unsupported_IO_runstate_setting</t>
  </si>
  <si>
    <t>{function}: invalid io runstate specified ({runstate:int})</t>
  </si>
  <si>
    <t>overflow_error_common</t>
  </si>
  <si>
    <t>The given data is beyond the value range of the variable type, error message: {message}</t>
  </si>
  <si>
    <t>overflow_error_int</t>
  </si>
  <si>
    <t>The given data is beyond the value range of the '{type}' type</t>
  </si>
  <si>
    <t>import_error_common</t>
  </si>
  <si>
    <t>Import Error: Message: {message}</t>
  </si>
  <si>
    <t>import_error_unkonwn_module</t>
  </si>
  <si>
    <t>Import Error: No module named '{module}'</t>
  </si>
  <si>
    <t>indentation_error_common</t>
  </si>
  <si>
    <t>Indentation Error: Message: {message}</t>
  </si>
  <si>
    <t>indentation_error_not_match_indentation_level</t>
  </si>
  <si>
    <t>Indentation Error: Unindent does not match any outer indentation level</t>
  </si>
  <si>
    <t>indentation_error_unexpected_indent</t>
  </si>
  <si>
    <t>Indentation Error: Unexpected indent</t>
  </si>
  <si>
    <t>syntax_error_common</t>
  </si>
  <si>
    <t>Syntax error: Message: {message}</t>
  </si>
  <si>
    <t>syntax_error_invalid_syntax</t>
  </si>
  <si>
    <t>Syntax error: Invalid syntax</t>
  </si>
  <si>
    <t>syntax_error_invalid_token</t>
  </si>
  <si>
    <t>Syntax error: Invalid token</t>
  </si>
  <si>
    <t>syntax_error_arg_pos</t>
  </si>
  <si>
    <t>Syntax error: Positional argument follows keyword argument</t>
  </si>
  <si>
    <t>syntax_error_invalid_character</t>
  </si>
  <si>
    <t>Syntax error: Invalid character in identifier</t>
  </si>
  <si>
    <t>syntax_error_string_no_end</t>
  </si>
  <si>
    <t>Syntax error: EOL while scanning string literal</t>
  </si>
  <si>
    <t>syntax_error_keyword_argument_repeated</t>
  </si>
  <si>
    <t>Syntax error: Keyword argument repeated</t>
  </si>
  <si>
    <t>argument_error_exact</t>
  </si>
  <si>
    <t>Type error: '{function}' takes exactly {n_args:int} arguments ({n_given:int} given)</t>
  </si>
  <si>
    <t>argument_error_at_least</t>
  </si>
  <si>
    <t>Type error: '{function}' takes at least {n_args:int} arguments ({n_given:int} given)</t>
  </si>
  <si>
    <t>argument_error_at_most</t>
  </si>
  <si>
    <t>Type error: '{function}' takes at most {n_args:int} arguments ({n_given:int} given)</t>
  </si>
  <si>
    <t>argument_error_type_mismatch</t>
  </si>
  <si>
    <t>Type error: '{function}' argument {n_args:int} must be '{except_type:string}', not '{given_type:string}' type</t>
  </si>
  <si>
    <t>argument_error_type_mismatch1</t>
  </si>
  <si>
    <t>Type error: Argument must be '{except_type:string}' type, not '{given_type:string}' type</t>
  </si>
  <si>
    <t>argument_error_type_mismatch2</t>
  </si>
  <si>
    <t>Type error: Argument must be '{except_type:string}' type</t>
  </si>
  <si>
    <t>argument_error_type_mismatch3</t>
  </si>
  <si>
    <t>Type error: '{function}' argument {n_args:int} must be '{except_type:string}' type</t>
  </si>
  <si>
    <t>argument_error_list_mismatch</t>
  </si>
  <si>
    <t>Type error: List argument in '{function}' length must be {len:int}, not {given_len:int}</t>
  </si>
  <si>
    <t>argument_error_list_mismatch1</t>
  </si>
  <si>
    <t>Type error: List argument in the function length must be {len:int}, not {given_len:int}</t>
  </si>
  <si>
    <t>argument_error_lenth_mismatch</t>
  </si>
  <si>
    <t>Type error: The length of the string argument in '{function}' cannot exceed {len:int}</t>
  </si>
  <si>
    <t>argument_error_value_out_of_range</t>
  </si>
  <si>
    <t>'{function}' argument should be in range of [{min:int}, {max:int}].</t>
  </si>
  <si>
    <t>argument_error_value_out_of_range1</t>
  </si>
  <si>
    <t>argument '{arg}' should be in range of [{min:float}, {max:float}].</t>
  </si>
  <si>
    <t>argument_error_value_out_of_range2</t>
  </si>
  <si>
    <t>argument '{arg}' cat not be less than {min:float}.</t>
  </si>
  <si>
    <t>got_an_unexpected_keyword_argument</t>
  </si>
  <si>
    <t>Type error: '{name}' is an invalid keyword argument for this function</t>
  </si>
  <si>
    <t>not_found_keyword_argument</t>
  </si>
  <si>
    <t>Type error: Required argument '{key_word}' (pos {pos:int}) not found</t>
  </si>
  <si>
    <t>not_found_keyword_argument_1</t>
  </si>
  <si>
    <t>Type error: Required argument (pos {pos:int}) not found</t>
  </si>
  <si>
    <t>no_keyword_argument</t>
  </si>
  <si>
    <t>Type error: '{function}' takes no keyword arguments</t>
  </si>
  <si>
    <t>type_error_missing_args</t>
  </si>
  <si>
    <t>Type error: '{function}' missing {count:int} required positional argument(s): {arg_list:string}</t>
  </si>
  <si>
    <t>type_error_arg_must_tuple</t>
  </si>
  <si>
    <t>Type error: Argument list must be a tuple</t>
  </si>
  <si>
    <t>type_error_arg_not_subscriptable</t>
  </si>
  <si>
    <t>Type error: '{arg_type}' object is not subscriptable</t>
  </si>
  <si>
    <t>type_error_arg_name_pos_mismatch</t>
  </si>
  <si>
    <t>Type error: Argument given by name ('{key_word}') and position ({pos:int})</t>
  </si>
  <si>
    <t>modbus_signal_name_out_of_range</t>
  </si>
  <si>
    <t>The string "{str}" length is not in range of [{min:int}, {max:int}] and cann't be a name for a modbus signal</t>
  </si>
  <si>
    <t>modbus_signal_slave_out_of_range</t>
  </si>
  <si>
    <t>Modbus slave address should be in range of [{min:int}, {max:int}]</t>
  </si>
  <si>
    <t>modbus_signal_address_out_of_range</t>
  </si>
  <si>
    <t>Modbus signal address should be in range of [{min:int}, {max:int}]</t>
  </si>
  <si>
    <t>modbus_signal_unknown_type</t>
  </si>
  <si>
    <t>Unknown modbus signal type {signal_type:int}</t>
  </si>
  <si>
    <t>modbus_server_exception</t>
  </si>
  <si>
    <t>{function}: Returned MODBUS exception code {code:int}</t>
  </si>
  <si>
    <t>modbus_signal_deleted</t>
  </si>
  <si>
    <t>MODBUS Signal '{signal_name}' is not connected or has been deleted</t>
  </si>
  <si>
    <t>modbus_signal_request_update_signal_failed</t>
  </si>
  <si>
    <t>MODBUS Signal '{signal_name}' failed to update signal value</t>
  </si>
  <si>
    <t>modbus_signal_disconnected</t>
  </si>
  <si>
    <t>MODBUS Signal {signal_name} is not connected to slave. Maybe IP or slave number is not right.</t>
  </si>
  <si>
    <t>modbus_signal_exception</t>
  </si>
  <si>
    <t>MODBUS Signal {signal_name} returned exception code {code:int}</t>
  </si>
  <si>
    <t>modbus_send_customadd_signal_limit</t>
  </si>
  <si>
    <t>{function}: MODBUS Signal with function code {code:int} to ip {ip} could not be created. Reason: Too many signals. Restart controller</t>
  </si>
  <si>
    <t>modbus_signal_incorrect_type</t>
  </si>
  <si>
    <t>MODBUS Signal {signal_name} does not match expected signal type {signal_type}</t>
  </si>
  <si>
    <t>modbus_send_custom_command_fail</t>
  </si>
  <si>
    <t>custom command send fail</t>
  </si>
  <si>
    <t>modbus_add_signal_fail</t>
  </si>
  <si>
    <t>add signal fail</t>
  </si>
  <si>
    <t>modbus_delete_signal_fail</t>
  </si>
  <si>
    <t>delete signal fail</t>
  </si>
  <si>
    <t>modbus_signal_set_value_failed</t>
  </si>
  <si>
    <t>Fail to set MODBUS Signal {signal_name} value. Exception code: {code:int}</t>
  </si>
  <si>
    <t>modbus_signal_get_value_failed</t>
  </si>
  <si>
    <t>Fail to get MODBUS Signal {signal_name} value. Exception code: {code:int}</t>
  </si>
  <si>
    <t>modbus_write_buff_size_full</t>
  </si>
  <si>
    <t>MODBUS  {signal_name} write size full</t>
  </si>
  <si>
    <t>modbus_signal_malloc_fail</t>
  </si>
  <si>
    <t>MODBUS signal {signal_name} request memory fail</t>
  </si>
  <si>
    <t>modbus_signal_slave</t>
  </si>
  <si>
    <t>MODBUS signal {signal_name} error slave</t>
  </si>
  <si>
    <t>modbus_signal_addr</t>
  </si>
  <si>
    <t>MODBUS signal {signal_name} error addr</t>
  </si>
  <si>
    <t>modbus_signal_code</t>
  </si>
  <si>
    <t>MODBUS signal {signal_name} error type</t>
  </si>
  <si>
    <t>function_shadows_builtin</t>
  </si>
  <si>
    <t>Contextual error: The function name {func} conflicts with a builtin function with the same name</t>
  </si>
  <si>
    <t>duplicate_parameter</t>
  </si>
  <si>
    <t>Contextual error: The parameter {param} is double defined</t>
  </si>
  <si>
    <t>duplicate_function</t>
  </si>
  <si>
    <t>Contextual error: The function {func} is double defined</t>
  </si>
  <si>
    <t>duplicate_thread</t>
  </si>
  <si>
    <t>Contextual error: The thread {thread} is double defined</t>
  </si>
  <si>
    <t>global_shadows_local</t>
  </si>
  <si>
    <t>Contextual error: The variable name {variable} is both defined local and global in the same scope</t>
  </si>
  <si>
    <t>global_shadows_parameter</t>
  </si>
  <si>
    <t>Contextual error: The variable name {variable} is both defined as function parameter and global variable in the same scope</t>
  </si>
  <si>
    <t>function_already_defined_as</t>
  </si>
  <si>
    <t>Contextual error: The function {func} is already defined as a {type1}</t>
  </si>
  <si>
    <t>variable_already_defined_as</t>
  </si>
  <si>
    <t>Contextual error: The variable {var} is already defined as a {type1}</t>
  </si>
  <si>
    <t>variable_shadows_builtin</t>
  </si>
  <si>
    <t>Contextual error: The variable '{func}' conflicts with a builtin function's name</t>
  </si>
  <si>
    <t>thread_already_defined_as</t>
  </si>
  <si>
    <t>Contextual error: The thread {thd} is already defined as a {type1}</t>
  </si>
  <si>
    <t>system_error_memery_allocate_failed</t>
  </si>
  <si>
    <t>{function}: Failed to allocate memory</t>
  </si>
  <si>
    <t>socket_cannot_connect</t>
  </si>
  <si>
    <t>Cannot connect to socket server, IP: {ip}, Port: {port:int}</t>
  </si>
  <si>
    <t>socket_values_read_range</t>
  </si>
  <si>
    <t>{function}: Can only read [{min:int}, {max:int}] values from socket at a time</t>
  </si>
  <si>
    <t>socket_server_name_too_long</t>
  </si>
  <si>
    <t>{function}: Socket server name is too long, max supported length: {length:int}</t>
  </si>
  <si>
    <t>socket_server_not_connect</t>
  </si>
  <si>
    <t>{function}: Socket server "{socket_name}" is not connected</t>
  </si>
  <si>
    <t>socket_var_name_out_range</t>
  </si>
  <si>
    <t>Variable name length should be in range of [{min:int}, {max:int}]</t>
  </si>
  <si>
    <t>socket_fix_name_out_range</t>
  </si>
  <si>
    <t>Prefix and suffix name length should not exceed [{len:int}]</t>
  </si>
  <si>
    <t>socket_server_over_max_count</t>
  </si>
  <si>
    <t>The currently connected server exceeds the maximum number: {count:int}, socket server "{socket_name}" connection failed</t>
  </si>
  <si>
    <t>serial_device_name_erro</t>
  </si>
  <si>
    <t xml:space="preserve"> Serial device {str} isn't supported.</t>
  </si>
  <si>
    <t>serial_device_not_open</t>
  </si>
  <si>
    <t xml:space="preserve"> Serial device {str} not be opened.</t>
  </si>
  <si>
    <t>serial_device_open_fail</t>
  </si>
  <si>
    <t xml:space="preserve"> Serial device {str} open fail</t>
  </si>
  <si>
    <t>serial_device_was_opened</t>
  </si>
  <si>
    <t xml:space="preserve"> Serial device {str} has been opened</t>
  </si>
  <si>
    <t>serial_device_config_fail</t>
  </si>
  <si>
    <t xml:space="preserve"> Serial device {str1} configure fail</t>
  </si>
  <si>
    <t>serial_device_close_fail</t>
  </si>
  <si>
    <t xml:space="preserve"> Serial device {str} close fail</t>
  </si>
  <si>
    <t>serial_device_not_opened</t>
  </si>
  <si>
    <t xml:space="preserve"> Serial device {str} has not been opened</t>
  </si>
  <si>
    <t>serial_device_is_mapping</t>
  </si>
  <si>
    <t>Serial port is in Deamon usage mode</t>
  </si>
  <si>
    <t>serial_device_type_error</t>
  </si>
  <si>
    <t>{str1} variable type error, expected type is {str2}</t>
  </si>
  <si>
    <t>serial_device_list_member_error</t>
  </si>
  <si>
    <t>Variable {str1} member of list type error, expected type is {str2}</t>
  </si>
  <si>
    <t>serial_device_modbus_write_too_many_data</t>
  </si>
  <si>
    <t>MODBUS-RTU port {str} write length must be smaller than 123</t>
  </si>
  <si>
    <t>serial_device_modbus_read_too_many_data</t>
  </si>
  <si>
    <t>MODBUS-RTU port {str} read length must be between 0 and 125</t>
  </si>
  <si>
    <t>serial_device_modbus_not_modbus_rtu</t>
  </si>
  <si>
    <t>Serial {str} not open by MODBUS-RTU</t>
  </si>
  <si>
    <t>serial_device_modbus_size_bit</t>
  </si>
  <si>
    <t xml:space="preserve">Serial device open as MODBUS-RTU size bits must be 8 </t>
  </si>
  <si>
    <t>serial_device_modbus_addr_error</t>
  </si>
  <si>
    <t>tool_io_test_failed</t>
  </si>
  <si>
    <t>Tool IO Test Failed, Failed Item: {str}</t>
  </si>
  <si>
    <t>fail_to_get_joint_param</t>
  </si>
  <si>
    <t xml:space="preserve">Fail to get parameter at addr {addr:int} in joint {id:int} </t>
  </si>
  <si>
    <t>rtsi_watchdog_error_act</t>
  </si>
  <si>
    <t>RTSI Watchdog: invalid action</t>
  </si>
  <si>
    <t>rtsi_watchdog_error_frequency</t>
  </si>
  <si>
    <t>RTSI Watchdog: invalid frequency</t>
  </si>
  <si>
    <t>rtsi_watchdog_error_var_name</t>
  </si>
  <si>
    <t>RTSI Watchdog: invalid variable's name</t>
  </si>
  <si>
    <t>reserved</t>
    <phoneticPr fontId="22" type="noConversion"/>
  </si>
  <si>
    <t>target_speed_fraction_limit</t>
    <phoneticPr fontId="22" type="noConversion"/>
  </si>
  <si>
    <t>speed_scaling</t>
    <phoneticPr fontId="22" type="noConversion"/>
  </si>
  <si>
    <t>target_speed_fraction</t>
    <phoneticPr fontId="22" type="noConversion"/>
  </si>
  <si>
    <t>robot_control_mode</t>
    <phoneticPr fontId="22" type="noConversion"/>
  </si>
  <si>
    <t>robot_mode</t>
    <phoneticPr fontId="22" type="noConversion"/>
  </si>
  <si>
    <t>Whether the task is not running</t>
    <phoneticPr fontId="22" type="noConversion"/>
  </si>
  <si>
    <t>Whether the task is paused</t>
    <phoneticPr fontId="22" type="noConversion"/>
  </si>
  <si>
    <t>Robot task speed scaling ratio. Range in [0.01 , 1]</t>
    <phoneticPr fontId="22" type="noConversion"/>
  </si>
  <si>
    <t>Reserved</t>
    <phoneticPr fontId="22" type="noConversion"/>
  </si>
  <si>
    <t>Joint current</t>
    <phoneticPr fontId="22" type="noConversion"/>
  </si>
  <si>
    <t>Gets all digital input IO values. The value of each bit:  xxxxTTTTCCCCCCCCDDDDDDDDDDDDDDD. Explan: 'D' is digtal input I/O; C is configurable input I/O; T is tool input I/O; x is NC.</t>
    <phoneticPr fontId="22" type="noConversion"/>
  </si>
  <si>
    <t>Gets all digital output IO values. The value of each bit:  xxxxTTTTCCCCCCCCDDDDDDDDDDDDDDD. Explan: 'D' is digtal output I/O; C is configurable output I/O; T is tool output I/O; x is NC.</t>
    <phoneticPr fontId="22" type="noConversion"/>
  </si>
  <si>
    <t>Analog input I/O 0 configure, Details: ANALOG_DOMAIN</t>
    <phoneticPr fontId="22" type="noConversion"/>
  </si>
  <si>
    <t>Analog input I/O 1 configure, Details: ANALOG_DOMAIN</t>
    <phoneticPr fontId="22" type="noConversion"/>
  </si>
  <si>
    <t>Tool analog I/O configure, Details: ANALOG_DOMAIN</t>
    <phoneticPr fontId="22" type="noConversion"/>
  </si>
  <si>
    <t>Analog input I/O 0 value</t>
    <phoneticPr fontId="22" type="noConversion"/>
  </si>
  <si>
    <t>Analog input I/O 1 value</t>
    <phoneticPr fontId="22" type="noConversion"/>
  </si>
  <si>
    <t>Tool analog input I/O value</t>
    <phoneticPr fontId="22" type="noConversion"/>
  </si>
  <si>
    <t>Analog output I/O[0] configure. Details: ANALOG_DOMAIN</t>
    <phoneticPr fontId="22" type="noConversion"/>
  </si>
  <si>
    <t>Analog output I/O[1] configure. Details: ANALOG_DOMAIN</t>
    <phoneticPr fontId="22" type="noConversion"/>
  </si>
  <si>
    <t>Tool analog output I/O configure. Details: ANALOG_DOMAIN</t>
    <phoneticPr fontId="22" type="noConversion"/>
  </si>
  <si>
    <t>Analog I/O[0] ouput value</t>
    <phoneticPr fontId="22" type="noConversion"/>
  </si>
  <si>
    <t>Analog I/O[1] ouput value</t>
    <phoneticPr fontId="22" type="noConversion"/>
  </si>
  <si>
    <t>Tool analog I/O ouput value</t>
    <phoneticPr fontId="22" type="noConversion"/>
  </si>
  <si>
    <t>I/O current</t>
    <phoneticPr fontId="22" type="noConversion"/>
  </si>
  <si>
    <t>Ooperational mode selector state</t>
    <phoneticPr fontId="22" type="noConversion"/>
  </si>
  <si>
    <t>Threeposition is enabling</t>
    <phoneticPr fontId="22" type="noConversion"/>
  </si>
  <si>
    <t>operational_mode_selector_input</t>
    <phoneticPr fontId="22" type="noConversion"/>
  </si>
  <si>
    <t>threeposition_enabling_device_input</t>
    <phoneticPr fontId="22" type="noConversion"/>
  </si>
  <si>
    <t>Wether the driver teaching I/O state. Opening is true, not is false</t>
    <phoneticPr fontId="22" type="noConversion"/>
  </si>
  <si>
    <t>Tool analog I/O output configure. Details: ANALOG_DOMAIN</t>
    <phoneticPr fontId="22" type="noConversion"/>
  </si>
  <si>
    <t>Tool analog I/O input configure. Details: ANALOG_DOMAIN</t>
    <phoneticPr fontId="22" type="noConversion"/>
  </si>
  <si>
    <t>Tool analog I/O output value.</t>
    <phoneticPr fontId="22" type="noConversion"/>
  </si>
  <si>
    <t>Tool analog I/O input value.</t>
    <phoneticPr fontId="22" type="noConversion"/>
  </si>
  <si>
    <t>safety_mode</t>
    <phoneticPr fontId="22" type="noConversion"/>
  </si>
  <si>
    <t>Internal use</t>
    <phoneticPr fontId="22" type="noConversion"/>
  </si>
  <si>
    <t>Actual joint angle. Unit: rad</t>
    <phoneticPr fontId="22" type="noConversion"/>
  </si>
  <si>
    <t>is_task_running</t>
    <phoneticPr fontId="22" type="noConversion"/>
  </si>
  <si>
    <t>is_task_paused</t>
    <phoneticPr fontId="22" type="noConversion"/>
  </si>
  <si>
    <t>masterboard_version</t>
    <phoneticPr fontId="22" type="noConversion"/>
  </si>
  <si>
    <t>The version of masterboard</t>
    <phoneticPr fontId="22" type="noConversion"/>
  </si>
  <si>
    <t>masterrbord_temperature</t>
    <phoneticPr fontId="22" type="noConversion"/>
  </si>
  <si>
    <t>Masterboard safety mode. Details: SAFETY_MODE</t>
    <phoneticPr fontId="22" type="noConversion"/>
  </si>
  <si>
    <t>Wether robot in reduce mode</t>
    <phoneticPr fontId="22" type="noConversion"/>
  </si>
  <si>
    <t>Masterboard temperature</t>
    <phoneticPr fontId="22" type="noConversion"/>
  </si>
  <si>
    <t>internal_use</t>
    <phoneticPr fontId="22" type="noConversion"/>
  </si>
  <si>
    <t>Mode</t>
    <phoneticPr fontId="17" type="noConversion"/>
  </si>
  <si>
    <t>robot_type</t>
    <phoneticPr fontId="22" type="noConversion"/>
  </si>
  <si>
    <t>ROBOT_STRUCTURE_TYPE_52 = 52</t>
    <phoneticPr fontId="17" type="noConversion"/>
  </si>
  <si>
    <t>ROBOT_STRUCTURE_TYPE_51 = 51</t>
    <phoneticPr fontId="17" type="noConversion"/>
  </si>
  <si>
    <t>ROBOT_STRUCTURE_TYPE_61 = 61</t>
    <phoneticPr fontId="17" type="noConversion"/>
  </si>
  <si>
    <t>ROBOT_STRUCTURE_TYPE_62 = 62</t>
    <phoneticPr fontId="17" type="noConversion"/>
  </si>
  <si>
    <t>CSH Series(etc. CS520H CS530H)</t>
    <phoneticPr fontId="17" type="noConversion"/>
  </si>
  <si>
    <t>CSR Series(etc. CS58R)</t>
    <phoneticPr fontId="17" type="noConversion"/>
  </si>
  <si>
    <t>CS High-Speed Series(etc. CS66A CS66AZ)</t>
    <phoneticPr fontId="17" type="noConversion"/>
  </si>
  <si>
    <t>CS Standard Series(etc. CS66 CS612)</t>
    <phoneticPr fontId="17" type="noConversion"/>
  </si>
  <si>
    <t>uint32_t</t>
    <phoneticPr fontId="22" type="noConversion"/>
  </si>
  <si>
    <t>uint8_t</t>
    <phoneticPr fontId="22" type="noConversion"/>
  </si>
  <si>
    <t>CONTROL_BOX_STANDARD = 1</t>
    <phoneticPr fontId="17" type="noConversion"/>
  </si>
  <si>
    <t>CONTROL_BOX_B1 = 2</t>
    <phoneticPr fontId="17" type="noConversion"/>
  </si>
  <si>
    <t>CONTROL_BOX_MINI = 3</t>
    <phoneticPr fontId="17" type="noConversion"/>
  </si>
  <si>
    <t>Control box type</t>
    <phoneticPr fontId="17" type="noConversion"/>
  </si>
  <si>
    <t>CS Standard Control Box (including OEM box)</t>
    <phoneticPr fontId="17" type="noConversion"/>
  </si>
  <si>
    <t>CS B1 Control Box</t>
    <phoneticPr fontId="17" type="noConversion"/>
  </si>
  <si>
    <t>CS MINI Control Box</t>
    <phoneticPr fontId="17" type="noConversion"/>
  </si>
  <si>
    <t>The type of Control Box. Details: CONTROL_BOX_TYPE</t>
    <phoneticPr fontId="22" type="noConversion"/>
  </si>
  <si>
    <t>有I/O | 无按钮 | 无力传感器</t>
    <phoneticPr fontId="17" type="noConversion"/>
  </si>
  <si>
    <t>有I/O | 有按钮 | 无力传感器</t>
    <phoneticPr fontId="17" type="noConversion"/>
  </si>
  <si>
    <t>有I/O | 无按钮 | 有力传感器</t>
    <phoneticPr fontId="17" type="noConversion"/>
  </si>
  <si>
    <t>有I/O | 有按钮 | 有力传感器</t>
    <phoneticPr fontId="17" type="noConversion"/>
  </si>
  <si>
    <t>有I/O | 有按钮 | 有力传感器 (分体)</t>
    <phoneticPr fontId="17" type="noConversion"/>
  </si>
  <si>
    <t>无I/O | 无按钮 | 无力传感器</t>
    <phoneticPr fontId="17" type="noConversion"/>
  </si>
  <si>
    <t>无I/O | 无按钮 | 无力传感器 (按钮款同高)</t>
  </si>
  <si>
    <t>TOOL_IO_STANDARD = 0</t>
    <phoneticPr fontId="17" type="noConversion"/>
  </si>
  <si>
    <t>TOOL_IO_BUTTON = 1</t>
    <phoneticPr fontId="17" type="noConversion"/>
  </si>
  <si>
    <t>TOOL_IO_FT_SENSOR = 2</t>
    <phoneticPr fontId="17" type="noConversion"/>
  </si>
  <si>
    <t>TOOL_IO_BUTTON_FT_SENSOR = 3</t>
    <phoneticPr fontId="17" type="noConversion"/>
  </si>
  <si>
    <t>TOOL_IO_BUTTON_FT_SENSOR_SPLIT = 4</t>
    <phoneticPr fontId="17" type="noConversion"/>
  </si>
  <si>
    <t>TOOL_IO_WITHOUT_IO = 5</t>
    <phoneticPr fontId="17" type="noConversion"/>
  </si>
  <si>
    <t>TOOL_IO_WITHOUT_IO_STANDARD = 6</t>
    <phoneticPr fontId="17" type="noConversion"/>
  </si>
  <si>
    <t>Robot Structure Type</t>
    <phoneticPr fontId="17" type="noConversion"/>
  </si>
  <si>
    <t>Explain</t>
    <phoneticPr fontId="17" type="noConversion"/>
  </si>
  <si>
    <t>Explain</t>
    <phoneticPr fontId="17" type="noConversion"/>
  </si>
  <si>
    <t>Tool I/O Type</t>
    <phoneticPr fontId="17" type="noConversion"/>
  </si>
  <si>
    <t>tool_io_type</t>
    <phoneticPr fontId="22" type="noConversion"/>
  </si>
  <si>
    <t>Robot Structure Type. Details: ROBOT_STRUCTURE_TYPE</t>
    <phoneticPr fontId="22" type="noConversion"/>
  </si>
  <si>
    <t>Robot Tool I/O Type. Details: TOOL_TYPE</t>
    <phoneticPr fontId="22" type="noConversion"/>
  </si>
  <si>
    <t>robot_structure</t>
    <phoneticPr fontId="2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</si>
</sst>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맑은 고딕"/>
      <charset val="134"/>
      <scheme val="minor"/>
    </font>
    <font>
      <sz val="11"/>
      <color theme="1"/>
      <name val="맑은 고딕"/>
      <family val="2"/>
      <scheme val="minor"/>
    </font>
    <font>
      <sz val="11"/>
      <name val="新宋体"/>
      <family val="3"/>
      <charset val="134"/>
    </font>
    <font>
      <sz val="14"/>
      <color theme="1"/>
      <name val="新宋体"/>
      <family val="3"/>
      <charset val="134"/>
    </font>
    <font>
      <sz val="11"/>
      <color theme="1"/>
      <name val="新宋体"/>
      <family val="3"/>
      <charset val="134"/>
    </font>
    <font>
      <sz val="11"/>
      <color theme="4" tint="-0.249977111117893"/>
      <name val="新宋体"/>
      <family val="3"/>
      <charset val="134"/>
    </font>
    <font>
      <b/>
      <u/>
      <sz val="14"/>
      <name val="新宋体"/>
      <family val="3"/>
      <charset val="134"/>
    </font>
    <font>
      <b/>
      <sz val="11"/>
      <color theme="4" tint="-0.249977111117893"/>
      <name val="新宋体"/>
      <family val="3"/>
      <charset val="134"/>
    </font>
    <font>
      <b/>
      <sz val="11"/>
      <name val="新宋体"/>
      <family val="3"/>
      <charset val="134"/>
    </font>
    <font>
      <b/>
      <sz val="11"/>
      <color theme="1"/>
      <name val="新宋体"/>
      <family val="3"/>
      <charset val="134"/>
    </font>
    <font>
      <b/>
      <sz val="11"/>
      <color theme="5" tint="-0.249977111117893"/>
      <name val="新宋体"/>
      <family val="3"/>
      <charset val="134"/>
    </font>
    <font>
      <u/>
      <sz val="11"/>
      <color rgb="FF800080"/>
      <name val="新宋体"/>
      <family val="3"/>
      <charset val="134"/>
    </font>
    <font>
      <u/>
      <sz val="11"/>
      <color theme="10"/>
      <name val="新宋体"/>
      <family val="3"/>
      <charset val="134"/>
    </font>
    <font>
      <sz val="14"/>
      <color theme="1"/>
      <name val="맑은 고딕"/>
      <family val="3"/>
      <charset val="134"/>
      <scheme val="minor"/>
    </font>
    <font>
      <u/>
      <sz val="14"/>
      <color theme="10"/>
      <name val="맑은 고딕"/>
      <family val="3"/>
      <charset val="134"/>
      <scheme val="minor"/>
    </font>
    <font>
      <u/>
      <sz val="11"/>
      <color theme="10"/>
      <name val="맑은 고딕"/>
      <family val="3"/>
      <charset val="134"/>
      <scheme val="minor"/>
    </font>
    <font>
      <sz val="11"/>
      <color rgb="FF800080"/>
      <name val="新宋体"/>
      <family val="3"/>
      <charset val="134"/>
    </font>
    <font>
      <sz val="9"/>
      <name val="맑은 고딕"/>
      <family val="3"/>
      <charset val="134"/>
      <scheme val="minor"/>
    </font>
    <font>
      <sz val="11"/>
      <color theme="1"/>
      <name val="新宋体"/>
      <family val="3"/>
      <charset val="134"/>
    </font>
    <font>
      <sz val="11"/>
      <color theme="4" tint="-0.249977111117893"/>
      <name val="新宋体"/>
      <family val="3"/>
      <charset val="134"/>
    </font>
    <font>
      <sz val="11"/>
      <name val="新宋体"/>
      <family val="3"/>
      <charset val="134"/>
    </font>
    <font>
      <b/>
      <sz val="11"/>
      <name val="宋体"/>
      <family val="3"/>
      <charset val="134"/>
    </font>
    <font>
      <sz val="9"/>
      <name val="맑은 고딕"/>
      <family val="3"/>
      <charset val="134"/>
      <scheme val="minor"/>
    </font>
    <font>
      <b/>
      <sz val="11"/>
      <name val="맑은 고딕"/>
      <family val="3"/>
      <charset val="134"/>
      <scheme val="minor"/>
    </font>
    <font>
      <sz val="11"/>
      <color theme="1"/>
      <name val="맑은 고딕"/>
      <family val="3"/>
      <charset val="134"/>
      <scheme val="minor"/>
    </font>
    <font>
      <b/>
      <sz val="11"/>
      <color theme="1"/>
      <name val="맑은 고딕"/>
      <family val="3"/>
      <charset val="134"/>
      <scheme val="minor"/>
    </font>
  </fonts>
  <fills count="11">
    <fill>
      <patternFill patternType="none"/>
    </fill>
    <fill>
      <patternFill patternType="gray125"/>
    </fill>
    <fill>
      <patternFill patternType="solid">
        <fgColor theme="0" tint="-4.9989318521683403E-2"/>
        <bgColor indexed="64"/>
      </patternFill>
    </fill>
    <fill>
      <patternFill patternType="solid">
        <fgColor theme="4" tint="0.79985961485641044"/>
        <bgColor indexed="64"/>
      </patternFill>
    </fill>
    <fill>
      <patternFill patternType="solid">
        <fgColor theme="4" tint="0.79995117038483843"/>
        <bgColor indexed="64"/>
      </patternFill>
    </fill>
    <fill>
      <patternFill patternType="solid">
        <fgColor theme="4" tint="0.79989013336588644"/>
        <bgColor indexed="64"/>
      </patternFill>
    </fill>
    <fill>
      <patternFill patternType="solid">
        <fgColor theme="4" tint="0.79995117038483843"/>
        <bgColor indexed="64"/>
      </patternFill>
    </fill>
    <fill>
      <patternFill patternType="solid">
        <fgColor theme="4" tint="0.79998168889431442"/>
        <bgColor indexed="64"/>
      </patternFill>
    </fill>
    <fill>
      <patternFill patternType="solid">
        <fgColor theme="0"/>
        <bgColor indexed="64"/>
      </patternFill>
    </fill>
    <fill>
      <patternFill patternType="solid">
        <fgColor rgb="FFF2F2F2"/>
        <bgColor rgb="FFF2F2F2"/>
      </patternFill>
    </fill>
    <fill>
      <patternFill patternType="solid">
        <fgColor rgb="FFDDEBF7"/>
        <bgColor rgb="FFDDEBF7"/>
      </patternFill>
    </fill>
  </fills>
  <borders count="40">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ck">
        <color auto="1"/>
      </right>
      <top/>
      <bottom style="thin">
        <color auto="1"/>
      </bottom>
      <diagonal/>
    </border>
    <border>
      <left style="thick">
        <color auto="1"/>
      </left>
      <right style="thin">
        <color auto="1"/>
      </right>
      <top style="thick">
        <color auto="1"/>
      </top>
      <bottom/>
      <diagonal/>
    </border>
    <border>
      <left style="thick">
        <color auto="1"/>
      </left>
      <right style="thin">
        <color auto="1"/>
      </right>
      <top/>
      <bottom/>
      <diagonal/>
    </border>
    <border>
      <left style="thin">
        <color auto="1"/>
      </left>
      <right/>
      <top style="thin">
        <color auto="1"/>
      </top>
      <bottom style="thin">
        <color auto="1"/>
      </bottom>
      <diagonal/>
    </border>
    <border>
      <left style="thin">
        <color auto="1"/>
      </left>
      <right style="thick">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ck">
        <color auto="1"/>
      </right>
      <top style="thin">
        <color auto="1"/>
      </top>
      <bottom/>
      <diagonal/>
    </border>
    <border>
      <left style="thick">
        <color auto="1"/>
      </left>
      <right style="thin">
        <color auto="1"/>
      </right>
      <top/>
      <bottom style="thick">
        <color auto="1"/>
      </bottom>
      <diagonal/>
    </border>
    <border>
      <left style="thin">
        <color auto="1"/>
      </left>
      <right style="thin">
        <color auto="1"/>
      </right>
      <top style="thick">
        <color auto="1"/>
      </top>
      <bottom style="thin">
        <color auto="1"/>
      </bottom>
      <diagonal/>
    </border>
    <border>
      <left style="thin">
        <color auto="1"/>
      </left>
      <right/>
      <top style="thick">
        <color auto="1"/>
      </top>
      <bottom style="thin">
        <color auto="1"/>
      </bottom>
      <diagonal/>
    </border>
    <border>
      <left style="thin">
        <color auto="1"/>
      </left>
      <right style="thick">
        <color auto="1"/>
      </right>
      <top style="thick">
        <color auto="1"/>
      </top>
      <bottom style="thin">
        <color auto="1"/>
      </bottom>
      <diagonal/>
    </border>
    <border>
      <left/>
      <right/>
      <top style="thin">
        <color auto="1"/>
      </top>
      <bottom style="thick">
        <color auto="1"/>
      </bottom>
      <diagonal/>
    </border>
    <border>
      <left/>
      <right style="thick">
        <color auto="1"/>
      </right>
      <top style="thin">
        <color auto="1"/>
      </top>
      <bottom style="thick">
        <color auto="1"/>
      </bottom>
      <diagonal/>
    </border>
    <border>
      <left style="thick">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right/>
      <top style="thin">
        <color auto="1"/>
      </top>
      <bottom style="thin">
        <color auto="1"/>
      </bottom>
      <diagonal/>
    </border>
    <border>
      <left/>
      <right style="thick">
        <color auto="1"/>
      </right>
      <top style="thin">
        <color auto="1"/>
      </top>
      <bottom style="thin">
        <color auto="1"/>
      </bottom>
      <diagonal/>
    </border>
    <border>
      <left style="thick">
        <color auto="1"/>
      </left>
      <right style="thin">
        <color auto="1"/>
      </right>
      <top style="thin">
        <color auto="1"/>
      </top>
      <bottom/>
      <diagonal/>
    </border>
    <border>
      <left/>
      <right style="thin">
        <color auto="1"/>
      </right>
      <top style="thick">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thick">
        <color auto="1"/>
      </bottom>
      <diagonal/>
    </border>
  </borders>
  <cellStyleXfs count="3">
    <xf numFmtId="0" fontId="0" fillId="0" borderId="0"/>
    <xf numFmtId="0" fontId="15" fillId="0" borderId="0" applyNumberFormat="0" applyFill="0" applyBorder="0" applyAlignment="0" applyProtection="0"/>
    <xf numFmtId="0" fontId="1" fillId="0" borderId="0"/>
  </cellStyleXfs>
  <cellXfs count="198">
    <xf numFmtId="0" fontId="0" fillId="0" borderId="0" xfId="0"/>
    <xf numFmtId="0" fontId="2" fillId="0" borderId="0" xfId="0" applyFont="1"/>
    <xf numFmtId="0" fontId="2" fillId="0" borderId="0" xfId="0" applyFont="1" applyAlignment="1">
      <alignment vertical="center"/>
    </xf>
    <xf numFmtId="0" fontId="3" fillId="0" borderId="0" xfId="0" applyFont="1"/>
    <xf numFmtId="0" fontId="4" fillId="0" borderId="0" xfId="0" applyFont="1"/>
    <xf numFmtId="0" fontId="2" fillId="0" borderId="0" xfId="0" applyFont="1" applyAlignment="1">
      <alignment horizontal="left"/>
    </xf>
    <xf numFmtId="0" fontId="2" fillId="0" borderId="1" xfId="0" applyFont="1" applyBorder="1" applyAlignment="1">
      <alignment horizontal="left"/>
    </xf>
    <xf numFmtId="0" fontId="2" fillId="0" borderId="1" xfId="0" applyFont="1" applyBorder="1" applyAlignment="1">
      <alignment horizontal="left"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5" fillId="0" borderId="0" xfId="0" applyFont="1" applyAlignment="1">
      <alignment horizontal="center" vertical="center"/>
    </xf>
    <xf numFmtId="0" fontId="2" fillId="0" borderId="0" xfId="0" applyFont="1" applyAlignment="1">
      <alignment horizontal="center" vertical="center"/>
    </xf>
    <xf numFmtId="0" fontId="4" fillId="0" borderId="0" xfId="0" applyFont="1" applyAlignment="1">
      <alignment horizontal="center" vertical="center"/>
    </xf>
    <xf numFmtId="0" fontId="4" fillId="0" borderId="11" xfId="0" applyFont="1" applyBorder="1" applyAlignment="1">
      <alignment horizontal="center" vertical="center"/>
    </xf>
    <xf numFmtId="0" fontId="7" fillId="0" borderId="12" xfId="0" applyFont="1" applyBorder="1" applyAlignment="1">
      <alignment horizontal="center" vertical="center"/>
    </xf>
    <xf numFmtId="0" fontId="8" fillId="0" borderId="13" xfId="0" applyFont="1" applyBorder="1" applyAlignment="1">
      <alignment horizontal="center" vertical="center"/>
    </xf>
    <xf numFmtId="0" fontId="9" fillId="0" borderId="14" xfId="0" applyFont="1" applyBorder="1" applyAlignment="1">
      <alignment horizontal="center" vertical="center"/>
    </xf>
    <xf numFmtId="0" fontId="5" fillId="2" borderId="16" xfId="0" applyFont="1" applyFill="1" applyBorder="1" applyAlignment="1">
      <alignment horizontal="left" vertical="center"/>
    </xf>
    <xf numFmtId="0" fontId="2" fillId="2" borderId="17" xfId="0" applyFont="1" applyFill="1" applyBorder="1" applyAlignment="1">
      <alignment horizontal="center" vertical="center"/>
    </xf>
    <xf numFmtId="0" fontId="4" fillId="2" borderId="18" xfId="0" applyFont="1" applyFill="1" applyBorder="1" applyAlignment="1">
      <alignment horizontal="center" vertical="center"/>
    </xf>
    <xf numFmtId="0" fontId="5" fillId="2" borderId="12" xfId="0" applyFont="1" applyFill="1" applyBorder="1" applyAlignment="1">
      <alignment horizontal="left" vertical="center"/>
    </xf>
    <xf numFmtId="0" fontId="2" fillId="2" borderId="13" xfId="0" applyFont="1" applyFill="1" applyBorder="1" applyAlignment="1">
      <alignment horizontal="center" vertical="center"/>
    </xf>
    <xf numFmtId="0" fontId="4" fillId="2" borderId="14" xfId="0" applyFont="1" applyFill="1" applyBorder="1" applyAlignment="1">
      <alignment horizontal="center" vertical="center"/>
    </xf>
    <xf numFmtId="0" fontId="5" fillId="3" borderId="16" xfId="0" applyFont="1" applyFill="1" applyBorder="1" applyAlignment="1">
      <alignment horizontal="left" vertical="center"/>
    </xf>
    <xf numFmtId="0" fontId="2" fillId="3" borderId="17" xfId="0" applyFont="1" applyFill="1" applyBorder="1" applyAlignment="1">
      <alignment horizontal="center" vertical="center"/>
    </xf>
    <xf numFmtId="0" fontId="4" fillId="3" borderId="18" xfId="0" applyFont="1" applyFill="1" applyBorder="1" applyAlignment="1">
      <alignment horizontal="center" vertical="center"/>
    </xf>
    <xf numFmtId="0" fontId="5" fillId="3" borderId="1" xfId="0" applyFont="1" applyFill="1" applyBorder="1" applyAlignment="1">
      <alignment horizontal="left" vertical="center"/>
    </xf>
    <xf numFmtId="0" fontId="2" fillId="3" borderId="21" xfId="0" applyFont="1" applyFill="1" applyBorder="1" applyAlignment="1">
      <alignment horizontal="center" vertical="center"/>
    </xf>
    <xf numFmtId="0" fontId="4" fillId="3" borderId="22" xfId="0" applyFont="1" applyFill="1" applyBorder="1" applyAlignment="1">
      <alignment horizontal="center" vertical="center"/>
    </xf>
    <xf numFmtId="0" fontId="11" fillId="3" borderId="22" xfId="1" applyFont="1" applyFill="1" applyBorder="1" applyAlignment="1">
      <alignment horizontal="center" vertical="center"/>
    </xf>
    <xf numFmtId="0" fontId="5" fillId="3" borderId="23" xfId="0" applyFont="1" applyFill="1" applyBorder="1" applyAlignment="1">
      <alignment horizontal="left" vertical="center"/>
    </xf>
    <xf numFmtId="0" fontId="2" fillId="3" borderId="24" xfId="0" applyFont="1" applyFill="1" applyBorder="1" applyAlignment="1">
      <alignment horizontal="center" vertical="center"/>
    </xf>
    <xf numFmtId="0" fontId="12" fillId="4" borderId="22" xfId="1" applyFont="1" applyFill="1" applyBorder="1" applyAlignment="1">
      <alignment horizontal="center" vertical="center"/>
    </xf>
    <xf numFmtId="0" fontId="5" fillId="5" borderId="23" xfId="0" applyFont="1" applyFill="1" applyBorder="1" applyAlignment="1">
      <alignment horizontal="left" vertical="center"/>
    </xf>
    <xf numFmtId="0" fontId="2" fillId="5" borderId="24" xfId="0" applyFont="1" applyFill="1" applyBorder="1" applyAlignment="1">
      <alignment horizontal="center" vertical="center"/>
    </xf>
    <xf numFmtId="0" fontId="4" fillId="5" borderId="25" xfId="0" applyFont="1" applyFill="1" applyBorder="1" applyAlignment="1">
      <alignment horizontal="center" vertical="center"/>
    </xf>
    <xf numFmtId="0" fontId="5" fillId="5" borderId="12" xfId="0" applyFont="1" applyFill="1" applyBorder="1" applyAlignment="1">
      <alignment horizontal="left" vertical="center"/>
    </xf>
    <xf numFmtId="0" fontId="2" fillId="5" borderId="13" xfId="0" applyFont="1" applyFill="1" applyBorder="1" applyAlignment="1">
      <alignment horizontal="center" vertical="center"/>
    </xf>
    <xf numFmtId="0" fontId="2" fillId="5" borderId="14" xfId="0" applyFont="1" applyFill="1" applyBorder="1" applyAlignment="1">
      <alignment horizontal="center" vertical="center"/>
    </xf>
    <xf numFmtId="0" fontId="5" fillId="2" borderId="27" xfId="0" applyFont="1" applyFill="1" applyBorder="1" applyAlignment="1">
      <alignment horizontal="left" vertical="center"/>
    </xf>
    <xf numFmtId="0" fontId="2" fillId="2" borderId="28" xfId="0" applyFont="1" applyFill="1" applyBorder="1" applyAlignment="1">
      <alignment horizontal="center" vertical="center"/>
    </xf>
    <xf numFmtId="0" fontId="4" fillId="2" borderId="29" xfId="0" applyFont="1" applyFill="1" applyBorder="1" applyAlignment="1">
      <alignment horizontal="center" vertical="center"/>
    </xf>
    <xf numFmtId="0" fontId="5" fillId="2" borderId="1" xfId="0" applyFont="1" applyFill="1" applyBorder="1" applyAlignment="1">
      <alignment horizontal="left" vertical="center"/>
    </xf>
    <xf numFmtId="0" fontId="2" fillId="2" borderId="21" xfId="0" applyFont="1" applyFill="1" applyBorder="1" applyAlignment="1">
      <alignment horizontal="center" vertical="center"/>
    </xf>
    <xf numFmtId="0" fontId="4" fillId="2" borderId="22" xfId="0" applyFont="1" applyFill="1" applyBorder="1" applyAlignment="1">
      <alignment horizontal="center" vertical="center"/>
    </xf>
    <xf numFmtId="0" fontId="5" fillId="2" borderId="1" xfId="0" applyFont="1" applyFill="1" applyBorder="1" applyAlignment="1">
      <alignment vertical="center"/>
    </xf>
    <xf numFmtId="0" fontId="12" fillId="2" borderId="22" xfId="1" applyFont="1" applyFill="1" applyBorder="1" applyAlignment="1">
      <alignment horizontal="center" vertical="center"/>
    </xf>
    <xf numFmtId="0" fontId="5" fillId="3" borderId="27" xfId="0" applyFont="1" applyFill="1" applyBorder="1" applyAlignment="1">
      <alignment horizontal="left" vertical="center"/>
    </xf>
    <xf numFmtId="0" fontId="2" fillId="3" borderId="28" xfId="0" applyFont="1" applyFill="1" applyBorder="1" applyAlignment="1">
      <alignment horizontal="center" vertical="center"/>
    </xf>
    <xf numFmtId="0" fontId="4" fillId="3" borderId="29" xfId="0" applyFont="1" applyFill="1" applyBorder="1" applyAlignment="1">
      <alignment horizontal="center" vertical="center"/>
    </xf>
    <xf numFmtId="0" fontId="5" fillId="3" borderId="12" xfId="0" applyFont="1" applyFill="1" applyBorder="1" applyAlignment="1">
      <alignment horizontal="left" vertical="center"/>
    </xf>
    <xf numFmtId="0" fontId="2" fillId="3" borderId="13" xfId="0" applyFont="1" applyFill="1" applyBorder="1" applyAlignment="1">
      <alignment horizontal="center" vertical="center"/>
    </xf>
    <xf numFmtId="0" fontId="4" fillId="3" borderId="14" xfId="0" applyFont="1" applyFill="1" applyBorder="1" applyAlignment="1">
      <alignment horizontal="center" vertical="center"/>
    </xf>
    <xf numFmtId="0" fontId="12" fillId="2" borderId="14" xfId="1" applyFont="1" applyFill="1" applyBorder="1" applyAlignment="1">
      <alignment horizontal="center" vertical="center"/>
    </xf>
    <xf numFmtId="0" fontId="12" fillId="3" borderId="22" xfId="1" applyFont="1" applyFill="1" applyBorder="1" applyAlignment="1">
      <alignment horizontal="center" vertical="center"/>
    </xf>
    <xf numFmtId="0" fontId="12" fillId="3" borderId="14" xfId="1" applyFont="1" applyFill="1" applyBorder="1" applyAlignment="1">
      <alignment horizontal="center" vertical="center"/>
    </xf>
    <xf numFmtId="0" fontId="5" fillId="2" borderId="23" xfId="0" applyFont="1" applyFill="1" applyBorder="1" applyAlignment="1">
      <alignment horizontal="left" vertical="center"/>
    </xf>
    <xf numFmtId="0" fontId="2"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5" fillId="5" borderId="16" xfId="0" applyFont="1" applyFill="1" applyBorder="1" applyAlignment="1">
      <alignment horizontal="left" vertical="center"/>
    </xf>
    <xf numFmtId="0" fontId="2" fillId="5" borderId="17" xfId="0" applyFont="1" applyFill="1" applyBorder="1" applyAlignment="1">
      <alignment horizontal="center" vertical="center"/>
    </xf>
    <xf numFmtId="0" fontId="4" fillId="5" borderId="18" xfId="0" applyFont="1" applyFill="1" applyBorder="1" applyAlignment="1">
      <alignment horizontal="center" vertical="center"/>
    </xf>
    <xf numFmtId="0" fontId="4" fillId="5" borderId="22" xfId="0" applyFont="1" applyFill="1" applyBorder="1" applyAlignment="1">
      <alignment horizontal="center" vertical="center"/>
    </xf>
    <xf numFmtId="0" fontId="5" fillId="3" borderId="23" xfId="0" applyFont="1" applyFill="1" applyBorder="1" applyAlignment="1">
      <alignment vertical="center"/>
    </xf>
    <xf numFmtId="0" fontId="2" fillId="3" borderId="23" xfId="0" applyFont="1" applyFill="1" applyBorder="1" applyAlignment="1">
      <alignment horizontal="center" vertical="center"/>
    </xf>
    <xf numFmtId="0" fontId="4" fillId="3" borderId="25" xfId="0" applyFont="1" applyFill="1" applyBorder="1" applyAlignment="1">
      <alignment horizontal="center" vertical="center"/>
    </xf>
    <xf numFmtId="0" fontId="5" fillId="5" borderId="27" xfId="0" applyFont="1" applyFill="1" applyBorder="1" applyAlignment="1">
      <alignment horizontal="left" vertical="center"/>
    </xf>
    <xf numFmtId="0" fontId="2" fillId="5" borderId="28" xfId="0" applyFont="1" applyFill="1" applyBorder="1" applyAlignment="1">
      <alignment horizontal="center" vertical="center"/>
    </xf>
    <xf numFmtId="0" fontId="4" fillId="5" borderId="29" xfId="0" applyFont="1" applyFill="1" applyBorder="1" applyAlignment="1">
      <alignment horizontal="center" vertical="center"/>
    </xf>
    <xf numFmtId="0" fontId="5" fillId="5" borderId="1" xfId="0" applyFont="1" applyFill="1" applyBorder="1" applyAlignment="1">
      <alignment horizontal="left" vertical="center"/>
    </xf>
    <xf numFmtId="0" fontId="2" fillId="5" borderId="21" xfId="0" applyFont="1" applyFill="1" applyBorder="1" applyAlignment="1">
      <alignment horizontal="center" vertical="center"/>
    </xf>
    <xf numFmtId="0" fontId="11" fillId="5" borderId="22" xfId="1" applyFont="1" applyFill="1" applyBorder="1" applyAlignment="1">
      <alignment horizontal="center" vertical="center"/>
    </xf>
    <xf numFmtId="0" fontId="4" fillId="5" borderId="14" xfId="0" applyFont="1" applyFill="1" applyBorder="1" applyAlignment="1">
      <alignment horizontal="center" vertical="center"/>
    </xf>
    <xf numFmtId="0" fontId="4" fillId="2" borderId="22" xfId="0" applyFont="1" applyFill="1" applyBorder="1" applyAlignment="1">
      <alignment horizontal="center" vertical="center" wrapText="1"/>
    </xf>
    <xf numFmtId="0" fontId="5" fillId="5" borderId="37" xfId="0" applyFont="1" applyFill="1" applyBorder="1" applyAlignment="1">
      <alignment horizontal="left" vertical="center"/>
    </xf>
    <xf numFmtId="0" fontId="2" fillId="5" borderId="9" xfId="0" applyFont="1" applyFill="1" applyBorder="1" applyAlignment="1">
      <alignment horizontal="center" vertical="center"/>
    </xf>
    <xf numFmtId="0" fontId="2" fillId="5" borderId="27" xfId="0" applyFont="1" applyFill="1" applyBorder="1" applyAlignment="1">
      <alignment horizontal="center" vertical="center"/>
    </xf>
    <xf numFmtId="0" fontId="4" fillId="5" borderId="10" xfId="0" applyFont="1" applyFill="1" applyBorder="1" applyAlignment="1">
      <alignment horizontal="center" vertical="center"/>
    </xf>
    <xf numFmtId="0" fontId="5" fillId="5" borderId="38" xfId="0" applyFont="1" applyFill="1" applyBorder="1" applyAlignment="1">
      <alignment horizontal="left" vertical="center"/>
    </xf>
    <xf numFmtId="0" fontId="2" fillId="5" borderId="34" xfId="0" applyFont="1" applyFill="1" applyBorder="1" applyAlignment="1">
      <alignment horizontal="center" vertical="center"/>
    </xf>
    <xf numFmtId="0" fontId="5" fillId="5" borderId="39" xfId="0" applyFont="1" applyFill="1" applyBorder="1" applyAlignment="1">
      <alignment vertical="center"/>
    </xf>
    <xf numFmtId="0" fontId="2" fillId="5" borderId="12" xfId="0" applyFont="1" applyFill="1" applyBorder="1" applyAlignment="1">
      <alignment horizontal="center" vertical="center"/>
    </xf>
    <xf numFmtId="0" fontId="2" fillId="3" borderId="22" xfId="1" applyFont="1" applyFill="1" applyBorder="1" applyAlignment="1">
      <alignment horizontal="center" vertical="center"/>
    </xf>
    <xf numFmtId="0" fontId="5" fillId="4" borderId="27" xfId="0" applyFont="1" applyFill="1" applyBorder="1" applyAlignment="1">
      <alignment horizontal="left" vertical="center"/>
    </xf>
    <xf numFmtId="0" fontId="2" fillId="4" borderId="28" xfId="0" applyFont="1" applyFill="1" applyBorder="1" applyAlignment="1">
      <alignment horizontal="center" vertical="center"/>
    </xf>
    <xf numFmtId="0" fontId="4" fillId="4" borderId="29" xfId="0" applyFont="1" applyFill="1" applyBorder="1" applyAlignment="1">
      <alignment horizontal="center" vertical="center"/>
    </xf>
    <xf numFmtId="0" fontId="5" fillId="4" borderId="1" xfId="0" applyFont="1" applyFill="1" applyBorder="1" applyAlignment="1">
      <alignment horizontal="left" vertical="center"/>
    </xf>
    <xf numFmtId="0" fontId="2" fillId="4" borderId="21" xfId="0" applyFont="1" applyFill="1" applyBorder="1" applyAlignment="1">
      <alignment horizontal="center" vertical="center"/>
    </xf>
    <xf numFmtId="0" fontId="4" fillId="4" borderId="22" xfId="0" applyFont="1" applyFill="1" applyBorder="1" applyAlignment="1">
      <alignment horizontal="center" vertical="center"/>
    </xf>
    <xf numFmtId="0" fontId="5" fillId="4" borderId="12" xfId="0" applyFont="1" applyFill="1" applyBorder="1" applyAlignment="1">
      <alignment horizontal="left" vertical="center"/>
    </xf>
    <xf numFmtId="0" fontId="2" fillId="4" borderId="13" xfId="0" applyFont="1" applyFill="1" applyBorder="1" applyAlignment="1">
      <alignment horizontal="center" vertical="center"/>
    </xf>
    <xf numFmtId="0" fontId="12" fillId="4" borderId="14" xfId="1" applyFont="1" applyFill="1" applyBorder="1" applyAlignment="1">
      <alignment horizontal="center" vertical="center"/>
    </xf>
    <xf numFmtId="0" fontId="11" fillId="2" borderId="22" xfId="1" applyFont="1" applyFill="1" applyBorder="1" applyAlignment="1">
      <alignment horizontal="center" vertical="center"/>
    </xf>
    <xf numFmtId="0" fontId="4" fillId="4" borderId="22" xfId="0" applyFont="1" applyFill="1" applyBorder="1" applyAlignment="1">
      <alignment horizontal="center" vertical="center" wrapText="1"/>
    </xf>
    <xf numFmtId="0" fontId="4" fillId="4" borderId="14" xfId="0" applyFont="1" applyFill="1" applyBorder="1" applyAlignment="1">
      <alignment horizontal="center" vertical="center"/>
    </xf>
    <xf numFmtId="0" fontId="5" fillId="0" borderId="0" xfId="0" applyFont="1"/>
    <xf numFmtId="0" fontId="2" fillId="0" borderId="0" xfId="0" applyFont="1" applyAlignment="1">
      <alignment horizontal="center"/>
    </xf>
    <xf numFmtId="0" fontId="13" fillId="0" borderId="0" xfId="0" applyFont="1"/>
    <xf numFmtId="0" fontId="13" fillId="0" borderId="0" xfId="0" applyFont="1" applyAlignment="1">
      <alignment horizontal="left"/>
    </xf>
    <xf numFmtId="0" fontId="14" fillId="0" borderId="0" xfId="1" applyFont="1"/>
    <xf numFmtId="0" fontId="5" fillId="6" borderId="1" xfId="0" applyFont="1" applyFill="1" applyBorder="1" applyAlignment="1">
      <alignment horizontal="left" vertical="center"/>
    </xf>
    <xf numFmtId="0" fontId="2" fillId="6" borderId="21" xfId="0" applyFont="1" applyFill="1" applyBorder="1" applyAlignment="1">
      <alignment horizontal="center" vertical="center"/>
    </xf>
    <xf numFmtId="0" fontId="4" fillId="6" borderId="22" xfId="0" applyFont="1" applyFill="1" applyBorder="1" applyAlignment="1">
      <alignment horizontal="center" vertical="center" wrapText="1"/>
    </xf>
    <xf numFmtId="0" fontId="4" fillId="0" borderId="23" xfId="0" applyFont="1" applyBorder="1" applyAlignment="1">
      <alignment horizontal="center" vertical="center"/>
    </xf>
    <xf numFmtId="0" fontId="9" fillId="0" borderId="23" xfId="0" applyFont="1" applyBorder="1" applyAlignment="1">
      <alignment horizontal="center" vertical="center"/>
    </xf>
    <xf numFmtId="0" fontId="9" fillId="0" borderId="25" xfId="0" applyFont="1" applyBorder="1" applyAlignment="1">
      <alignment horizontal="center" vertical="center"/>
    </xf>
    <xf numFmtId="0" fontId="5" fillId="2" borderId="27" xfId="0" applyFont="1" applyFill="1" applyBorder="1" applyAlignment="1">
      <alignment horizontal="center" vertical="center"/>
    </xf>
    <xf numFmtId="0" fontId="4" fillId="2" borderId="27" xfId="0" applyFont="1" applyFill="1" applyBorder="1" applyAlignment="1">
      <alignment horizontal="center" vertical="center"/>
    </xf>
    <xf numFmtId="0" fontId="5" fillId="2" borderId="12" xfId="0" applyFont="1" applyFill="1" applyBorder="1" applyAlignment="1">
      <alignment horizontal="center" vertical="center"/>
    </xf>
    <xf numFmtId="0" fontId="4" fillId="2" borderId="12" xfId="0" applyFont="1" applyFill="1" applyBorder="1" applyAlignment="1">
      <alignment horizontal="center" vertical="center"/>
    </xf>
    <xf numFmtId="0" fontId="5" fillId="7" borderId="27" xfId="0" applyFont="1" applyFill="1" applyBorder="1" applyAlignment="1">
      <alignment horizontal="center" vertical="center"/>
    </xf>
    <xf numFmtId="0" fontId="4" fillId="7" borderId="27" xfId="0" applyFont="1" applyFill="1" applyBorder="1" applyAlignment="1">
      <alignment horizontal="center" vertical="center"/>
    </xf>
    <xf numFmtId="0" fontId="4" fillId="7" borderId="29" xfId="0" applyFont="1" applyFill="1" applyBorder="1" applyAlignment="1">
      <alignment horizontal="center" vertical="center"/>
    </xf>
    <xf numFmtId="0" fontId="5" fillId="7"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7" borderId="22" xfId="0" applyFont="1" applyFill="1" applyBorder="1" applyAlignment="1">
      <alignment horizontal="center" vertical="center"/>
    </xf>
    <xf numFmtId="0" fontId="5" fillId="7" borderId="12" xfId="0" applyFont="1" applyFill="1" applyBorder="1" applyAlignment="1">
      <alignment horizontal="center" vertical="center"/>
    </xf>
    <xf numFmtId="0" fontId="4" fillId="7" borderId="12" xfId="0" applyFont="1" applyFill="1" applyBorder="1" applyAlignment="1">
      <alignment horizontal="center" vertical="center"/>
    </xf>
    <xf numFmtId="0" fontId="4" fillId="7" borderId="14" xfId="0" applyFont="1" applyFill="1" applyBorder="1" applyAlignment="1">
      <alignment horizontal="center" vertical="center"/>
    </xf>
    <xf numFmtId="0" fontId="18" fillId="0" borderId="0" xfId="0" applyFont="1"/>
    <xf numFmtId="0" fontId="19" fillId="0" borderId="0" xfId="0" applyFont="1"/>
    <xf numFmtId="0" fontId="20" fillId="0" borderId="0" xfId="0" applyFont="1" applyAlignment="1">
      <alignment horizontal="center"/>
    </xf>
    <xf numFmtId="0" fontId="18" fillId="0" borderId="0" xfId="0" applyFont="1" applyAlignment="1">
      <alignment horizontal="center" vertical="center"/>
    </xf>
    <xf numFmtId="0" fontId="5" fillId="7" borderId="16" xfId="0" applyFont="1" applyFill="1" applyBorder="1" applyAlignment="1">
      <alignment horizontal="center" vertical="center"/>
    </xf>
    <xf numFmtId="0" fontId="4" fillId="7" borderId="16" xfId="0" applyFont="1" applyFill="1" applyBorder="1" applyAlignment="1">
      <alignment horizontal="center" vertical="center"/>
    </xf>
    <xf numFmtId="0" fontId="4" fillId="7" borderId="18" xfId="0" applyFont="1" applyFill="1" applyBorder="1" applyAlignment="1">
      <alignment horizontal="center" vertical="center"/>
    </xf>
    <xf numFmtId="0" fontId="15" fillId="7" borderId="22" xfId="1" applyFill="1" applyBorder="1" applyAlignment="1">
      <alignment horizontal="center" vertical="center"/>
    </xf>
    <xf numFmtId="0" fontId="8" fillId="0" borderId="12" xfId="0" applyFont="1" applyBorder="1" applyAlignment="1">
      <alignment horizontal="center" vertical="center"/>
    </xf>
    <xf numFmtId="0" fontId="8" fillId="8" borderId="23" xfId="0" applyFont="1" applyFill="1" applyBorder="1" applyAlignment="1">
      <alignment horizontal="center" vertical="center"/>
    </xf>
    <xf numFmtId="0" fontId="8" fillId="8" borderId="36" xfId="0" applyFont="1" applyFill="1" applyBorder="1" applyAlignment="1">
      <alignment horizontal="center" vertical="center"/>
    </xf>
    <xf numFmtId="0" fontId="8" fillId="8" borderId="25" xfId="0" applyFont="1" applyFill="1" applyBorder="1" applyAlignment="1">
      <alignment horizontal="center" vertical="center"/>
    </xf>
    <xf numFmtId="0" fontId="9" fillId="0" borderId="0" xfId="0" applyFont="1"/>
    <xf numFmtId="0" fontId="9" fillId="0" borderId="1" xfId="2" applyFont="1" applyBorder="1"/>
    <xf numFmtId="0" fontId="4" fillId="2" borderId="1" xfId="2" applyFont="1" applyFill="1" applyBorder="1"/>
    <xf numFmtId="0" fontId="4" fillId="7" borderId="1" xfId="2" applyFont="1" applyFill="1" applyBorder="1"/>
    <xf numFmtId="0" fontId="9" fillId="0" borderId="1" xfId="2" applyFont="1" applyBorder="1" applyAlignment="1">
      <alignment horizontal="center" vertical="center"/>
    </xf>
    <xf numFmtId="0" fontId="4" fillId="2" borderId="1" xfId="2" applyFont="1" applyFill="1" applyBorder="1" applyAlignment="1">
      <alignment horizontal="center" vertical="center"/>
    </xf>
    <xf numFmtId="0" fontId="4" fillId="7" borderId="1" xfId="2" applyFont="1" applyFill="1" applyBorder="1" applyAlignment="1">
      <alignment horizontal="center" vertical="center"/>
    </xf>
    <xf numFmtId="0" fontId="21" fillId="0" borderId="1" xfId="0" applyFont="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5" fillId="2" borderId="1" xfId="2" applyFont="1" applyFill="1" applyBorder="1" applyAlignment="1">
      <alignment horizontal="center" vertical="center"/>
    </xf>
    <xf numFmtId="0" fontId="5" fillId="7" borderId="1" xfId="2" applyFont="1" applyFill="1" applyBorder="1" applyAlignment="1">
      <alignment horizontal="center" vertical="center"/>
    </xf>
    <xf numFmtId="0" fontId="23" fillId="0" borderId="1" xfId="0" applyFont="1" applyBorder="1" applyAlignment="1">
      <alignment horizontal="center" vertical="center"/>
    </xf>
    <xf numFmtId="0" fontId="24" fillId="0" borderId="0" xfId="0" applyFont="1"/>
    <xf numFmtId="0" fontId="24" fillId="0" borderId="1" xfId="0" applyFont="1" applyBorder="1" applyAlignment="1">
      <alignment horizontal="center" vertical="center"/>
    </xf>
    <xf numFmtId="0" fontId="4" fillId="0" borderId="0" xfId="0" applyFont="1" applyAlignment="1">
      <alignment horizontal="left"/>
    </xf>
    <xf numFmtId="0" fontId="25" fillId="0" borderId="0" xfId="0" applyFont="1"/>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0" fillId="2" borderId="32" xfId="0" applyFont="1" applyFill="1" applyBorder="1" applyAlignment="1">
      <alignment horizontal="center" vertical="center"/>
    </xf>
    <xf numFmtId="0" fontId="10" fillId="2" borderId="11" xfId="0" applyFont="1" applyFill="1" applyBorder="1" applyAlignment="1">
      <alignment horizontal="center" vertical="center"/>
    </xf>
    <xf numFmtId="0" fontId="10" fillId="7" borderId="15" xfId="0" applyFont="1" applyFill="1" applyBorder="1" applyAlignment="1">
      <alignment horizontal="center" vertical="center"/>
    </xf>
    <xf numFmtId="0" fontId="10" fillId="7" borderId="33" xfId="0" applyFont="1" applyFill="1" applyBorder="1" applyAlignment="1">
      <alignment horizontal="center" vertical="center"/>
    </xf>
    <xf numFmtId="0" fontId="10" fillId="7" borderId="11" xfId="0" applyFont="1" applyFill="1" applyBorder="1" applyAlignment="1">
      <alignment horizontal="center" vertical="center"/>
    </xf>
    <xf numFmtId="0" fontId="10" fillId="4" borderId="32" xfId="0" applyFont="1" applyFill="1" applyBorder="1" applyAlignment="1">
      <alignment horizontal="center" vertical="center"/>
    </xf>
    <xf numFmtId="0" fontId="10" fillId="4" borderId="33" xfId="0" applyFont="1" applyFill="1" applyBorder="1" applyAlignment="1">
      <alignment horizontal="center" vertical="center"/>
    </xf>
    <xf numFmtId="0" fontId="10" fillId="4" borderId="11" xfId="0" applyFont="1" applyFill="1" applyBorder="1" applyAlignment="1">
      <alignment horizontal="center" vertical="center"/>
    </xf>
    <xf numFmtId="0" fontId="10" fillId="2" borderId="33" xfId="0" applyFont="1" applyFill="1" applyBorder="1" applyAlignment="1">
      <alignment horizontal="center" vertical="center"/>
    </xf>
    <xf numFmtId="0" fontId="9" fillId="0" borderId="27" xfId="0" applyFont="1" applyBorder="1" applyAlignment="1">
      <alignment horizontal="center" vertical="center"/>
    </xf>
    <xf numFmtId="0" fontId="9" fillId="0" borderId="29" xfId="0" applyFont="1" applyBorder="1" applyAlignment="1">
      <alignment horizontal="center" vertical="center"/>
    </xf>
    <xf numFmtId="0" fontId="10" fillId="7" borderId="32" xfId="0" applyFont="1" applyFill="1" applyBorder="1" applyAlignment="1">
      <alignment horizontal="center" vertical="center"/>
    </xf>
    <xf numFmtId="0" fontId="10" fillId="2" borderId="36" xfId="0" applyFont="1" applyFill="1" applyBorder="1" applyAlignment="1">
      <alignment horizontal="center" vertical="center"/>
    </xf>
    <xf numFmtId="0" fontId="10" fillId="3" borderId="32" xfId="0" applyFont="1" applyFill="1" applyBorder="1" applyAlignment="1">
      <alignment horizontal="center" vertical="center"/>
    </xf>
    <xf numFmtId="0" fontId="10" fillId="3" borderId="33" xfId="0" applyFont="1" applyFill="1" applyBorder="1" applyAlignment="1">
      <alignment horizontal="center" vertical="center"/>
    </xf>
    <xf numFmtId="0" fontId="10" fillId="3" borderId="11" xfId="0" applyFont="1" applyFill="1" applyBorder="1" applyAlignment="1">
      <alignment horizontal="center" vertical="center"/>
    </xf>
    <xf numFmtId="0" fontId="4" fillId="2" borderId="1" xfId="0" applyFont="1" applyFill="1" applyBorder="1" applyAlignment="1">
      <alignment horizontal="left" vertical="center"/>
    </xf>
    <xf numFmtId="0" fontId="4" fillId="2" borderId="21" xfId="0" applyFont="1" applyFill="1" applyBorder="1" applyAlignment="1">
      <alignment horizontal="left" vertical="center"/>
    </xf>
    <xf numFmtId="0" fontId="4" fillId="2" borderId="22" xfId="0" applyFont="1" applyFill="1" applyBorder="1" applyAlignment="1">
      <alignment horizontal="left" vertical="center"/>
    </xf>
    <xf numFmtId="0" fontId="4" fillId="2" borderId="34" xfId="0" applyFont="1" applyFill="1" applyBorder="1" applyAlignment="1">
      <alignment horizontal="left" vertical="center"/>
    </xf>
    <xf numFmtId="0" fontId="4" fillId="2" borderId="35" xfId="0" applyFont="1" applyFill="1" applyBorder="1" applyAlignment="1">
      <alignment horizontal="left" vertical="center"/>
    </xf>
    <xf numFmtId="0" fontId="6" fillId="0" borderId="8" xfId="1" applyFont="1" applyBorder="1" applyAlignment="1">
      <alignment horizontal="center"/>
    </xf>
    <xf numFmtId="0" fontId="6" fillId="0" borderId="9" xfId="1" applyFont="1" applyBorder="1" applyAlignment="1">
      <alignment horizontal="center"/>
    </xf>
    <xf numFmtId="0" fontId="6" fillId="0" borderId="10" xfId="1" applyFont="1" applyBorder="1" applyAlignment="1">
      <alignment horizontal="center"/>
    </xf>
    <xf numFmtId="0" fontId="10" fillId="2" borderId="15" xfId="0" applyFont="1" applyFill="1" applyBorder="1" applyAlignment="1">
      <alignment horizontal="center" vertical="center"/>
    </xf>
    <xf numFmtId="0" fontId="10" fillId="3" borderId="19" xfId="0" applyFont="1" applyFill="1" applyBorder="1" applyAlignment="1">
      <alignment horizontal="center" vertical="center"/>
    </xf>
    <xf numFmtId="0" fontId="10" fillId="3" borderId="20" xfId="0" applyFont="1" applyFill="1" applyBorder="1" applyAlignment="1">
      <alignment horizontal="center" vertical="center"/>
    </xf>
    <xf numFmtId="0" fontId="10" fillId="3" borderId="26" xfId="0" applyFont="1" applyFill="1" applyBorder="1" applyAlignment="1">
      <alignment horizontal="center" vertical="center"/>
    </xf>
    <xf numFmtId="0" fontId="10" fillId="2" borderId="19" xfId="0" applyFont="1" applyFill="1" applyBorder="1" applyAlignment="1">
      <alignment horizontal="center" vertical="center"/>
    </xf>
    <xf numFmtId="0" fontId="10" fillId="2" borderId="20" xfId="0" applyFont="1" applyFill="1" applyBorder="1" applyAlignment="1">
      <alignment horizontal="center" vertical="center"/>
    </xf>
    <xf numFmtId="0" fontId="10" fillId="2" borderId="26" xfId="0" applyFont="1" applyFill="1" applyBorder="1" applyAlignment="1">
      <alignment horizontal="center" vertical="center"/>
    </xf>
    <xf numFmtId="0" fontId="4" fillId="2" borderId="13" xfId="0" applyFont="1" applyFill="1" applyBorder="1" applyAlignment="1">
      <alignment horizontal="left"/>
    </xf>
    <xf numFmtId="0" fontId="4" fillId="2" borderId="30" xfId="0" applyFont="1" applyFill="1" applyBorder="1" applyAlignment="1">
      <alignment horizontal="left"/>
    </xf>
    <xf numFmtId="0" fontId="4" fillId="2" borderId="31" xfId="0" applyFont="1" applyFill="1" applyBorder="1" applyAlignment="1">
      <alignment horizontal="left"/>
    </xf>
    <xf numFmtId="0" fontId="10" fillId="5" borderId="32" xfId="0" applyFont="1" applyFill="1" applyBorder="1" applyAlignment="1">
      <alignment horizontal="center" vertical="center"/>
    </xf>
    <xf numFmtId="0" fontId="10" fillId="5" borderId="33" xfId="0" applyFont="1" applyFill="1" applyBorder="1" applyAlignment="1">
      <alignment horizontal="center" vertical="center"/>
    </xf>
    <xf numFmtId="0" fontId="10" fillId="5" borderId="11" xfId="0" applyFont="1" applyFill="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2" borderId="5" xfId="0" applyFont="1" applyFill="1" applyBorder="1" applyAlignment="1">
      <alignment horizontal="center" vertical="center"/>
    </xf>
    <xf numFmtId="0" fontId="4" fillId="3" borderId="5" xfId="0" applyFont="1"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cellXfs>
  <cellStyles count="3">
    <cellStyle name="常规 2" xfId="2" xr:uid="{2331728F-FA86-4C6F-BD41-C1A31FC2B90B}"/>
    <cellStyle name="표준" xfId="0" builtinId="0"/>
    <cellStyle name="하이퍼링크" xfId="1" builtinId="8"/>
  </cellStyles>
  <dxfs count="0"/>
  <tableStyles count="0" defaultTableStyle="TableStyleMedium2" defaultPivotStyle="PivotStyleLight16"/>
  <colors>
    <mruColors>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workbookViewId="0">
      <selection activeCell="E24" sqref="E24"/>
    </sheetView>
  </sheetViews>
  <sheetFormatPr defaultColWidth="8.875" defaultRowHeight="20.25"/>
  <cols>
    <col min="1" max="1" width="9.5" style="99" customWidth="1"/>
    <col min="2" max="2" width="32.875" style="99" customWidth="1"/>
    <col min="3" max="3" width="26.875" style="99" customWidth="1"/>
    <col min="4" max="16384" width="8.875" style="99"/>
  </cols>
  <sheetData>
    <row r="1" spans="1:3">
      <c r="A1" s="99" t="s">
        <v>0</v>
      </c>
    </row>
    <row r="2" spans="1:3">
      <c r="B2" s="99" t="s">
        <v>1</v>
      </c>
    </row>
    <row r="3" spans="1:3">
      <c r="A3" s="99" t="s">
        <v>2</v>
      </c>
    </row>
    <row r="4" spans="1:3">
      <c r="B4" s="99" t="s">
        <v>3</v>
      </c>
      <c r="C4" s="100">
        <v>30001</v>
      </c>
    </row>
    <row r="5" spans="1:3">
      <c r="B5" s="99" t="s">
        <v>4</v>
      </c>
      <c r="C5" s="99" t="s">
        <v>5</v>
      </c>
    </row>
    <row r="6" spans="1:3">
      <c r="B6" s="99" t="s">
        <v>6</v>
      </c>
      <c r="C6" s="101" t="s">
        <v>7</v>
      </c>
    </row>
    <row r="7" spans="1:3">
      <c r="B7" s="99" t="s">
        <v>8</v>
      </c>
      <c r="C7" s="101" t="s">
        <v>9</v>
      </c>
    </row>
  </sheetData>
  <phoneticPr fontId="17" type="noConversion"/>
  <hyperlinks>
    <hyperlink ref="C6" location="报文格式!A1" display="Details: Package Format" xr:uid="{00000000-0004-0000-0000-000000000000}"/>
    <hyperlink ref="C7" location="机器人状态报文!A1" display="Details: Robot's State Package" xr:uid="{00000000-0004-0000-0000-00000100000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E57C7-60F2-46E9-89E7-634277488BE6}">
  <dimension ref="A1:E176"/>
  <sheetViews>
    <sheetView tabSelected="1" topLeftCell="A59" zoomScaleNormal="100" workbookViewId="0">
      <selection activeCell="A88" sqref="A88:A112"/>
    </sheetView>
  </sheetViews>
  <sheetFormatPr defaultColWidth="8.875" defaultRowHeight="13.5"/>
  <cols>
    <col min="1" max="1" width="57" style="4" customWidth="1"/>
    <col min="2" max="2" width="15.875" style="12" customWidth="1"/>
    <col min="3" max="3" width="49.625" style="13" customWidth="1"/>
    <col min="4" max="4" width="20.375" style="13" customWidth="1"/>
    <col min="5" max="5" width="111.625" style="14" customWidth="1"/>
    <col min="6" max="16384" width="8.875" style="4"/>
  </cols>
  <sheetData>
    <row r="1" spans="1:5" s="1" customFormat="1" ht="18" customHeight="1" thickTop="1">
      <c r="A1" s="174" t="s">
        <v>10</v>
      </c>
      <c r="B1" s="175"/>
      <c r="C1" s="175"/>
      <c r="D1" s="175"/>
      <c r="E1" s="176"/>
    </row>
    <row r="2" spans="1:5" ht="18" customHeight="1" thickBot="1">
      <c r="A2" s="15"/>
      <c r="B2" s="129" t="s">
        <v>11</v>
      </c>
      <c r="C2" s="17" t="s">
        <v>12</v>
      </c>
      <c r="D2" s="17" t="s">
        <v>13</v>
      </c>
      <c r="E2" s="18" t="s">
        <v>384</v>
      </c>
    </row>
    <row r="3" spans="1:5" ht="18" customHeight="1" thickTop="1">
      <c r="A3" s="177" t="s">
        <v>398</v>
      </c>
      <c r="B3" s="19" t="s">
        <v>15</v>
      </c>
      <c r="C3" s="20" t="s">
        <v>16</v>
      </c>
      <c r="D3" s="20">
        <v>4</v>
      </c>
      <c r="E3" s="21" t="s">
        <v>386</v>
      </c>
    </row>
    <row r="4" spans="1:5" ht="18" customHeight="1" thickBot="1">
      <c r="A4" s="154"/>
      <c r="B4" s="22" t="s">
        <v>18</v>
      </c>
      <c r="C4" s="23" t="s">
        <v>19</v>
      </c>
      <c r="D4" s="23">
        <v>1</v>
      </c>
      <c r="E4" s="24" t="s">
        <v>388</v>
      </c>
    </row>
    <row r="5" spans="1:5" ht="18" customHeight="1" thickTop="1">
      <c r="A5" s="178" t="str">
        <f>"Robot mode sub-package("&amp;SUM(D5:D23)&amp;" bytes)"</f>
        <v>Robot mode sub-package(53 bytes)</v>
      </c>
      <c r="B5" s="25" t="s">
        <v>15</v>
      </c>
      <c r="C5" s="26" t="s">
        <v>21</v>
      </c>
      <c r="D5" s="26">
        <v>4</v>
      </c>
      <c r="E5" s="27" t="s">
        <v>22</v>
      </c>
    </row>
    <row r="6" spans="1:5" ht="18" customHeight="1">
      <c r="A6" s="179"/>
      <c r="B6" s="28" t="s">
        <v>18</v>
      </c>
      <c r="C6" s="29" t="s">
        <v>23</v>
      </c>
      <c r="D6" s="29">
        <v>1</v>
      </c>
      <c r="E6" s="30" t="s">
        <v>24</v>
      </c>
    </row>
    <row r="7" spans="1:5" ht="18" customHeight="1">
      <c r="A7" s="179"/>
      <c r="B7" s="28" t="s">
        <v>25</v>
      </c>
      <c r="C7" s="29" t="s">
        <v>26</v>
      </c>
      <c r="D7" s="29">
        <v>8</v>
      </c>
      <c r="E7" s="30" t="s">
        <v>391</v>
      </c>
    </row>
    <row r="8" spans="1:5" ht="18" customHeight="1">
      <c r="A8" s="179"/>
      <c r="B8" s="28" t="s">
        <v>28</v>
      </c>
      <c r="C8" s="29" t="s">
        <v>1237</v>
      </c>
      <c r="D8" s="29">
        <v>1</v>
      </c>
      <c r="E8" s="30" t="s">
        <v>1246</v>
      </c>
    </row>
    <row r="9" spans="1:5" ht="18" customHeight="1">
      <c r="A9" s="179"/>
      <c r="B9" s="28" t="s">
        <v>28</v>
      </c>
      <c r="C9" s="29" t="s">
        <v>1237</v>
      </c>
      <c r="D9" s="29">
        <v>1</v>
      </c>
      <c r="E9" s="30" t="s">
        <v>1246</v>
      </c>
    </row>
    <row r="10" spans="1:5" ht="18" customHeight="1">
      <c r="A10" s="179"/>
      <c r="B10" s="28" t="s">
        <v>28</v>
      </c>
      <c r="C10" s="29" t="s">
        <v>30</v>
      </c>
      <c r="D10" s="29">
        <v>1</v>
      </c>
      <c r="E10" s="30" t="s">
        <v>31</v>
      </c>
    </row>
    <row r="11" spans="1:5" ht="18" customHeight="1">
      <c r="A11" s="179"/>
      <c r="B11" s="28" t="s">
        <v>28</v>
      </c>
      <c r="C11" s="29" t="s">
        <v>32</v>
      </c>
      <c r="D11" s="29">
        <v>1</v>
      </c>
      <c r="E11" s="30" t="s">
        <v>33</v>
      </c>
    </row>
    <row r="12" spans="1:5" ht="18" customHeight="1">
      <c r="A12" s="179"/>
      <c r="B12" s="28" t="s">
        <v>28</v>
      </c>
      <c r="C12" s="29" t="s">
        <v>34</v>
      </c>
      <c r="D12" s="29">
        <v>1</v>
      </c>
      <c r="E12" s="30" t="s">
        <v>35</v>
      </c>
    </row>
    <row r="13" spans="1:5" ht="18" customHeight="1">
      <c r="A13" s="179"/>
      <c r="B13" s="28" t="s">
        <v>28</v>
      </c>
      <c r="C13" s="29" t="s">
        <v>1275</v>
      </c>
      <c r="D13" s="29">
        <v>1</v>
      </c>
      <c r="E13" s="30" t="s">
        <v>1243</v>
      </c>
    </row>
    <row r="14" spans="1:5" ht="18" customHeight="1">
      <c r="A14" s="179"/>
      <c r="B14" s="28" t="s">
        <v>28</v>
      </c>
      <c r="C14" s="29" t="s">
        <v>1276</v>
      </c>
      <c r="D14" s="29">
        <v>1</v>
      </c>
      <c r="E14" s="30" t="s">
        <v>1244</v>
      </c>
    </row>
    <row r="15" spans="1:5" ht="18" customHeight="1">
      <c r="A15" s="179"/>
      <c r="B15" s="28" t="s">
        <v>18</v>
      </c>
      <c r="C15" s="29" t="s">
        <v>1242</v>
      </c>
      <c r="D15" s="29">
        <v>1</v>
      </c>
      <c r="E15" s="31" t="s">
        <v>41</v>
      </c>
    </row>
    <row r="16" spans="1:5" ht="18" customHeight="1">
      <c r="A16" s="179"/>
      <c r="B16" s="28" t="s">
        <v>18</v>
      </c>
      <c r="C16" s="29" t="s">
        <v>1241</v>
      </c>
      <c r="D16" s="29">
        <v>1</v>
      </c>
      <c r="E16" s="31" t="s">
        <v>43</v>
      </c>
    </row>
    <row r="17" spans="1:5" ht="18" customHeight="1">
      <c r="A17" s="179"/>
      <c r="B17" s="28" t="s">
        <v>44</v>
      </c>
      <c r="C17" s="29" t="s">
        <v>1240</v>
      </c>
      <c r="D17" s="29">
        <v>8</v>
      </c>
      <c r="E17" s="30" t="s">
        <v>46</v>
      </c>
    </row>
    <row r="18" spans="1:5" ht="18" customHeight="1">
      <c r="A18" s="179"/>
      <c r="B18" s="28" t="s">
        <v>44</v>
      </c>
      <c r="C18" s="29" t="s">
        <v>1239</v>
      </c>
      <c r="D18" s="29">
        <v>8</v>
      </c>
      <c r="E18" s="30" t="s">
        <v>1245</v>
      </c>
    </row>
    <row r="19" spans="1:5" ht="18" customHeight="1">
      <c r="A19" s="179"/>
      <c r="B19" s="28" t="s">
        <v>44</v>
      </c>
      <c r="C19" s="29" t="s">
        <v>1238</v>
      </c>
      <c r="D19" s="29">
        <v>8</v>
      </c>
      <c r="E19" s="30" t="s">
        <v>50</v>
      </c>
    </row>
    <row r="20" spans="1:5" ht="18" customHeight="1">
      <c r="A20" s="179"/>
      <c r="B20" s="32" t="s">
        <v>18</v>
      </c>
      <c r="C20" s="33" t="s">
        <v>51</v>
      </c>
      <c r="D20" s="33">
        <v>1</v>
      </c>
      <c r="E20" s="34" t="s">
        <v>52</v>
      </c>
    </row>
    <row r="21" spans="1:5" ht="18" customHeight="1">
      <c r="A21" s="179"/>
      <c r="B21" s="35" t="s">
        <v>28</v>
      </c>
      <c r="C21" s="36" t="s">
        <v>1237</v>
      </c>
      <c r="D21" s="36">
        <v>1</v>
      </c>
      <c r="E21" s="37" t="s">
        <v>1246</v>
      </c>
    </row>
    <row r="22" spans="1:5" ht="18" customHeight="1">
      <c r="A22" s="179"/>
      <c r="B22" s="35" t="s">
        <v>28</v>
      </c>
      <c r="C22" s="36" t="s">
        <v>55</v>
      </c>
      <c r="D22" s="36">
        <v>1</v>
      </c>
      <c r="E22" s="37" t="s">
        <v>56</v>
      </c>
    </row>
    <row r="23" spans="1:5" ht="18" customHeight="1" thickBot="1">
      <c r="A23" s="180"/>
      <c r="B23" s="38" t="s">
        <v>15</v>
      </c>
      <c r="C23" s="39" t="s">
        <v>1237</v>
      </c>
      <c r="D23" s="39">
        <v>4</v>
      </c>
      <c r="E23" s="40" t="s">
        <v>1246</v>
      </c>
    </row>
    <row r="24" spans="1:5" ht="18" customHeight="1" thickTop="1">
      <c r="A24" s="181" t="str">
        <f>"Joint sub-package("&amp;SUM(D24:D25)+SUM(D27:D38)*6&amp;" bytes)"</f>
        <v>Joint sub-package(347 bytes)</v>
      </c>
      <c r="B24" s="41" t="s">
        <v>15</v>
      </c>
      <c r="C24" s="42" t="s">
        <v>57</v>
      </c>
      <c r="D24" s="42">
        <v>4</v>
      </c>
      <c r="E24" s="43" t="s">
        <v>22</v>
      </c>
    </row>
    <row r="25" spans="1:5" ht="18" customHeight="1">
      <c r="A25" s="182"/>
      <c r="B25" s="44" t="s">
        <v>18</v>
      </c>
      <c r="C25" s="45" t="s">
        <v>58</v>
      </c>
      <c r="D25" s="45">
        <v>1</v>
      </c>
      <c r="E25" s="46" t="s">
        <v>59</v>
      </c>
    </row>
    <row r="26" spans="1:5" ht="18" customHeight="1">
      <c r="A26" s="182"/>
      <c r="B26" s="169" t="s">
        <v>60</v>
      </c>
      <c r="C26" s="170"/>
      <c r="D26" s="170"/>
      <c r="E26" s="171"/>
    </row>
    <row r="27" spans="1:5" ht="18" customHeight="1">
      <c r="A27" s="182"/>
      <c r="B27" s="47" t="s">
        <v>44</v>
      </c>
      <c r="C27" s="45" t="s">
        <v>61</v>
      </c>
      <c r="D27" s="45">
        <v>8</v>
      </c>
      <c r="E27" s="46" t="s">
        <v>1274</v>
      </c>
    </row>
    <row r="28" spans="1:5" ht="18" customHeight="1">
      <c r="A28" s="182"/>
      <c r="B28" s="47" t="s">
        <v>44</v>
      </c>
      <c r="C28" s="45" t="s">
        <v>63</v>
      </c>
      <c r="D28" s="45">
        <v>8</v>
      </c>
      <c r="E28" s="46" t="s">
        <v>64</v>
      </c>
    </row>
    <row r="29" spans="1:5" ht="18" customHeight="1">
      <c r="A29" s="182"/>
      <c r="B29" s="47" t="s">
        <v>44</v>
      </c>
      <c r="C29" s="45" t="s">
        <v>65</v>
      </c>
      <c r="D29" s="45">
        <v>8</v>
      </c>
      <c r="E29" s="46" t="s">
        <v>66</v>
      </c>
    </row>
    <row r="30" spans="1:5" ht="18" customHeight="1">
      <c r="A30" s="182"/>
      <c r="B30" s="47" t="s">
        <v>67</v>
      </c>
      <c r="C30" s="45" t="s">
        <v>1237</v>
      </c>
      <c r="D30" s="45">
        <v>4</v>
      </c>
      <c r="E30" s="46" t="s">
        <v>1246</v>
      </c>
    </row>
    <row r="31" spans="1:5" ht="18" customHeight="1">
      <c r="A31" s="182"/>
      <c r="B31" s="47" t="s">
        <v>67</v>
      </c>
      <c r="C31" s="45" t="s">
        <v>1237</v>
      </c>
      <c r="D31" s="45">
        <v>4</v>
      </c>
      <c r="E31" s="46" t="s">
        <v>1246</v>
      </c>
    </row>
    <row r="32" spans="1:5" ht="18" customHeight="1">
      <c r="A32" s="182"/>
      <c r="B32" s="47" t="s">
        <v>67</v>
      </c>
      <c r="C32" s="45" t="s">
        <v>1237</v>
      </c>
      <c r="D32" s="45">
        <v>4</v>
      </c>
      <c r="E32" s="46" t="s">
        <v>1246</v>
      </c>
    </row>
    <row r="33" spans="1:5" ht="18" customHeight="1">
      <c r="A33" s="182"/>
      <c r="B33" s="47" t="s">
        <v>68</v>
      </c>
      <c r="C33" s="45" t="s">
        <v>69</v>
      </c>
      <c r="D33" s="45">
        <v>4</v>
      </c>
      <c r="E33" s="46" t="s">
        <v>1247</v>
      </c>
    </row>
    <row r="34" spans="1:5" ht="18" customHeight="1">
      <c r="A34" s="182"/>
      <c r="B34" s="47" t="s">
        <v>68</v>
      </c>
      <c r="C34" s="45" t="s">
        <v>71</v>
      </c>
      <c r="D34" s="45">
        <v>4</v>
      </c>
      <c r="E34" s="46" t="s">
        <v>72</v>
      </c>
    </row>
    <row r="35" spans="1:5" ht="18" customHeight="1">
      <c r="A35" s="182"/>
      <c r="B35" s="47" t="s">
        <v>68</v>
      </c>
      <c r="C35" s="45" t="s">
        <v>73</v>
      </c>
      <c r="D35" s="45">
        <v>4</v>
      </c>
      <c r="E35" s="46" t="s">
        <v>74</v>
      </c>
    </row>
    <row r="36" spans="1:5" ht="18" customHeight="1">
      <c r="A36" s="182"/>
      <c r="B36" s="47" t="s">
        <v>68</v>
      </c>
      <c r="C36" s="45" t="s">
        <v>75</v>
      </c>
      <c r="D36" s="45">
        <v>4</v>
      </c>
      <c r="E36" s="46" t="s">
        <v>76</v>
      </c>
    </row>
    <row r="37" spans="1:5" ht="18" customHeight="1">
      <c r="A37" s="182"/>
      <c r="B37" s="47" t="s">
        <v>18</v>
      </c>
      <c r="C37" s="45" t="s">
        <v>77</v>
      </c>
      <c r="D37" s="45">
        <v>1</v>
      </c>
      <c r="E37" s="48" t="s">
        <v>78</v>
      </c>
    </row>
    <row r="38" spans="1:5" ht="18" customHeight="1">
      <c r="A38" s="182"/>
      <c r="B38" s="47" t="s">
        <v>15</v>
      </c>
      <c r="C38" s="45" t="s">
        <v>1237</v>
      </c>
      <c r="D38" s="45">
        <v>4</v>
      </c>
      <c r="E38" s="46" t="s">
        <v>1246</v>
      </c>
    </row>
    <row r="39" spans="1:5" ht="18" customHeight="1" thickBot="1">
      <c r="A39" s="183"/>
      <c r="B39" s="184" t="s">
        <v>80</v>
      </c>
      <c r="C39" s="185"/>
      <c r="D39" s="185"/>
      <c r="E39" s="186"/>
    </row>
    <row r="40" spans="1:5" ht="18" customHeight="1" thickTop="1">
      <c r="A40" s="166" t="str">
        <f>"Cartesian sub-package("&amp;SUM(D40:D53)&amp;" bytes)"</f>
        <v>Cartesian sub-package(101 bytes)</v>
      </c>
      <c r="B40" s="49" t="s">
        <v>15</v>
      </c>
      <c r="C40" s="50" t="s">
        <v>81</v>
      </c>
      <c r="D40" s="50">
        <v>4</v>
      </c>
      <c r="E40" s="51" t="s">
        <v>22</v>
      </c>
    </row>
    <row r="41" spans="1:5" ht="18" customHeight="1">
      <c r="A41" s="167"/>
      <c r="B41" s="28" t="s">
        <v>18</v>
      </c>
      <c r="C41" s="29" t="s">
        <v>82</v>
      </c>
      <c r="D41" s="29">
        <v>1</v>
      </c>
      <c r="E41" s="30" t="s">
        <v>83</v>
      </c>
    </row>
    <row r="42" spans="1:5" ht="18" customHeight="1">
      <c r="A42" s="167"/>
      <c r="B42" s="28" t="s">
        <v>44</v>
      </c>
      <c r="C42" s="29" t="s">
        <v>84</v>
      </c>
      <c r="D42" s="29">
        <v>8</v>
      </c>
      <c r="E42" s="30" t="s">
        <v>85</v>
      </c>
    </row>
    <row r="43" spans="1:5" ht="18" customHeight="1">
      <c r="A43" s="167"/>
      <c r="B43" s="28" t="s">
        <v>44</v>
      </c>
      <c r="C43" s="29" t="s">
        <v>86</v>
      </c>
      <c r="D43" s="29">
        <v>8</v>
      </c>
      <c r="E43" s="30" t="s">
        <v>87</v>
      </c>
    </row>
    <row r="44" spans="1:5" ht="18" customHeight="1">
      <c r="A44" s="167"/>
      <c r="B44" s="28" t="s">
        <v>44</v>
      </c>
      <c r="C44" s="29" t="s">
        <v>88</v>
      </c>
      <c r="D44" s="29">
        <v>8</v>
      </c>
      <c r="E44" s="30" t="s">
        <v>89</v>
      </c>
    </row>
    <row r="45" spans="1:5" ht="18" customHeight="1">
      <c r="A45" s="167"/>
      <c r="B45" s="28" t="s">
        <v>44</v>
      </c>
      <c r="C45" s="29" t="s">
        <v>90</v>
      </c>
      <c r="D45" s="29">
        <v>8</v>
      </c>
      <c r="E45" s="30" t="s">
        <v>91</v>
      </c>
    </row>
    <row r="46" spans="1:5" ht="18" customHeight="1">
      <c r="A46" s="167"/>
      <c r="B46" s="28" t="s">
        <v>44</v>
      </c>
      <c r="C46" s="29" t="s">
        <v>92</v>
      </c>
      <c r="D46" s="29">
        <v>8</v>
      </c>
      <c r="E46" s="30" t="s">
        <v>93</v>
      </c>
    </row>
    <row r="47" spans="1:5" ht="18" customHeight="1">
      <c r="A47" s="167"/>
      <c r="B47" s="28" t="s">
        <v>44</v>
      </c>
      <c r="C47" s="29" t="s">
        <v>94</v>
      </c>
      <c r="D47" s="29">
        <v>8</v>
      </c>
      <c r="E47" s="30" t="s">
        <v>95</v>
      </c>
    </row>
    <row r="48" spans="1:5" ht="18" customHeight="1">
      <c r="A48" s="167"/>
      <c r="B48" s="28" t="s">
        <v>44</v>
      </c>
      <c r="C48" s="29" t="s">
        <v>96</v>
      </c>
      <c r="D48" s="29">
        <v>8</v>
      </c>
      <c r="E48" s="30" t="s">
        <v>97</v>
      </c>
    </row>
    <row r="49" spans="1:5" ht="18" customHeight="1">
      <c r="A49" s="167"/>
      <c r="B49" s="28" t="s">
        <v>44</v>
      </c>
      <c r="C49" s="29" t="s">
        <v>98</v>
      </c>
      <c r="D49" s="29">
        <v>8</v>
      </c>
      <c r="E49" s="30" t="s">
        <v>99</v>
      </c>
    </row>
    <row r="50" spans="1:5" ht="18" customHeight="1">
      <c r="A50" s="167"/>
      <c r="B50" s="28" t="s">
        <v>44</v>
      </c>
      <c r="C50" s="29" t="s">
        <v>100</v>
      </c>
      <c r="D50" s="29">
        <v>8</v>
      </c>
      <c r="E50" s="30" t="s">
        <v>101</v>
      </c>
    </row>
    <row r="51" spans="1:5" ht="18" customHeight="1">
      <c r="A51" s="167"/>
      <c r="B51" s="28" t="s">
        <v>44</v>
      </c>
      <c r="C51" s="29" t="s">
        <v>102</v>
      </c>
      <c r="D51" s="29">
        <v>8</v>
      </c>
      <c r="E51" s="30" t="s">
        <v>103</v>
      </c>
    </row>
    <row r="52" spans="1:5" ht="18" customHeight="1">
      <c r="A52" s="167"/>
      <c r="B52" s="28" t="s">
        <v>44</v>
      </c>
      <c r="C52" s="29" t="s">
        <v>104</v>
      </c>
      <c r="D52" s="29">
        <v>8</v>
      </c>
      <c r="E52" s="30" t="s">
        <v>105</v>
      </c>
    </row>
    <row r="53" spans="1:5" ht="18" customHeight="1" thickBot="1">
      <c r="A53" s="168"/>
      <c r="B53" s="52" t="s">
        <v>44</v>
      </c>
      <c r="C53" s="53" t="s">
        <v>106</v>
      </c>
      <c r="D53" s="29">
        <v>8</v>
      </c>
      <c r="E53" s="54" t="s">
        <v>107</v>
      </c>
    </row>
    <row r="54" spans="1:5" ht="18" customHeight="1" thickTop="1">
      <c r="A54" s="153" t="str">
        <f>"Robot configuration data sub-package("&amp;SUM(D54:D55)+SUM(D57:D58)*6+SUM(D61:D62)*6+SUM(D64:D68)+D70*6+D73*6+D76*6+D79*6+SUM(D81:D87)&amp;" bytes)"</f>
        <v>Robot configuration data sub-package(445 bytes)</v>
      </c>
      <c r="B54" s="41" t="s">
        <v>15</v>
      </c>
      <c r="C54" s="42" t="s">
        <v>108</v>
      </c>
      <c r="D54" s="42">
        <v>4</v>
      </c>
      <c r="E54" s="43" t="s">
        <v>22</v>
      </c>
    </row>
    <row r="55" spans="1:5" ht="18" customHeight="1">
      <c r="A55" s="161"/>
      <c r="B55" s="44" t="s">
        <v>18</v>
      </c>
      <c r="C55" s="45" t="s">
        <v>109</v>
      </c>
      <c r="D55" s="45">
        <v>1</v>
      </c>
      <c r="E55" s="46" t="s">
        <v>110</v>
      </c>
    </row>
    <row r="56" spans="1:5" ht="18" customHeight="1">
      <c r="A56" s="161"/>
      <c r="B56" s="169" t="s">
        <v>60</v>
      </c>
      <c r="C56" s="170"/>
      <c r="D56" s="170"/>
      <c r="E56" s="171"/>
    </row>
    <row r="57" spans="1:5" ht="18" customHeight="1">
      <c r="A57" s="161"/>
      <c r="B57" s="44" t="s">
        <v>44</v>
      </c>
      <c r="C57" s="45" t="s">
        <v>111</v>
      </c>
      <c r="D57" s="45">
        <v>8</v>
      </c>
      <c r="E57" s="46" t="s">
        <v>112</v>
      </c>
    </row>
    <row r="58" spans="1:5" ht="18" customHeight="1">
      <c r="A58" s="161"/>
      <c r="B58" s="44" t="s">
        <v>44</v>
      </c>
      <c r="C58" s="45" t="s">
        <v>113</v>
      </c>
      <c r="D58" s="45">
        <v>8</v>
      </c>
      <c r="E58" s="46" t="s">
        <v>114</v>
      </c>
    </row>
    <row r="59" spans="1:5" ht="18" customHeight="1">
      <c r="A59" s="161"/>
      <c r="B59" s="169" t="s">
        <v>80</v>
      </c>
      <c r="C59" s="170"/>
      <c r="D59" s="170"/>
      <c r="E59" s="171"/>
    </row>
    <row r="60" spans="1:5" ht="18" customHeight="1">
      <c r="A60" s="161"/>
      <c r="B60" s="169" t="s">
        <v>60</v>
      </c>
      <c r="C60" s="170"/>
      <c r="D60" s="170"/>
      <c r="E60" s="171"/>
    </row>
    <row r="61" spans="1:5" ht="18" customHeight="1">
      <c r="A61" s="161"/>
      <c r="B61" s="44" t="s">
        <v>44</v>
      </c>
      <c r="C61" s="45" t="s">
        <v>115</v>
      </c>
      <c r="D61" s="45">
        <v>8</v>
      </c>
      <c r="E61" s="46" t="s">
        <v>116</v>
      </c>
    </row>
    <row r="62" spans="1:5" ht="18" customHeight="1">
      <c r="A62" s="161"/>
      <c r="B62" s="44" t="s">
        <v>44</v>
      </c>
      <c r="C62" s="45" t="s">
        <v>117</v>
      </c>
      <c r="D62" s="45">
        <v>8</v>
      </c>
      <c r="E62" s="46" t="s">
        <v>118</v>
      </c>
    </row>
    <row r="63" spans="1:5" ht="18" customHeight="1">
      <c r="A63" s="161"/>
      <c r="B63" s="169" t="s">
        <v>80</v>
      </c>
      <c r="C63" s="170"/>
      <c r="D63" s="170"/>
      <c r="E63" s="171"/>
    </row>
    <row r="64" spans="1:5" ht="18" customHeight="1">
      <c r="A64" s="161"/>
      <c r="B64" s="44" t="s">
        <v>44</v>
      </c>
      <c r="C64" s="45" t="s">
        <v>119</v>
      </c>
      <c r="D64" s="45">
        <v>8</v>
      </c>
      <c r="E64" s="46" t="s">
        <v>120</v>
      </c>
    </row>
    <row r="65" spans="1:5" ht="18" customHeight="1">
      <c r="A65" s="161"/>
      <c r="B65" s="44" t="s">
        <v>44</v>
      </c>
      <c r="C65" s="45" t="s">
        <v>121</v>
      </c>
      <c r="D65" s="45">
        <v>8</v>
      </c>
      <c r="E65" s="46" t="s">
        <v>122</v>
      </c>
    </row>
    <row r="66" spans="1:5" ht="18" customHeight="1">
      <c r="A66" s="161"/>
      <c r="B66" s="44" t="s">
        <v>44</v>
      </c>
      <c r="C66" s="45" t="s">
        <v>123</v>
      </c>
      <c r="D66" s="45">
        <v>8</v>
      </c>
      <c r="E66" s="46" t="s">
        <v>124</v>
      </c>
    </row>
    <row r="67" spans="1:5" ht="18" customHeight="1">
      <c r="A67" s="161"/>
      <c r="B67" s="44" t="s">
        <v>44</v>
      </c>
      <c r="C67" s="45" t="s">
        <v>125</v>
      </c>
      <c r="D67" s="45">
        <v>8</v>
      </c>
      <c r="E67" s="46" t="s">
        <v>126</v>
      </c>
    </row>
    <row r="68" spans="1:5" ht="18" customHeight="1">
      <c r="A68" s="161"/>
      <c r="B68" s="44" t="s">
        <v>44</v>
      </c>
      <c r="C68" s="45" t="s">
        <v>1283</v>
      </c>
      <c r="D68" s="45">
        <v>8</v>
      </c>
      <c r="E68" s="46" t="s">
        <v>1273</v>
      </c>
    </row>
    <row r="69" spans="1:5" ht="18" customHeight="1">
      <c r="A69" s="161"/>
      <c r="B69" s="169" t="s">
        <v>60</v>
      </c>
      <c r="C69" s="170"/>
      <c r="D69" s="170"/>
      <c r="E69" s="171"/>
    </row>
    <row r="70" spans="1:5" ht="18" customHeight="1">
      <c r="A70" s="161"/>
      <c r="B70" s="44" t="s">
        <v>44</v>
      </c>
      <c r="C70" s="45" t="s">
        <v>129</v>
      </c>
      <c r="D70" s="45">
        <v>8</v>
      </c>
      <c r="E70" s="46" t="s">
        <v>130</v>
      </c>
    </row>
    <row r="71" spans="1:5" ht="18" customHeight="1">
      <c r="A71" s="161"/>
      <c r="B71" s="169" t="s">
        <v>80</v>
      </c>
      <c r="C71" s="170"/>
      <c r="D71" s="170"/>
      <c r="E71" s="171"/>
    </row>
    <row r="72" spans="1:5" ht="18" customHeight="1">
      <c r="A72" s="161"/>
      <c r="B72" s="169" t="s">
        <v>60</v>
      </c>
      <c r="C72" s="170"/>
      <c r="D72" s="170"/>
      <c r="E72" s="171"/>
    </row>
    <row r="73" spans="1:5" ht="18" customHeight="1">
      <c r="A73" s="161"/>
      <c r="B73" s="44" t="s">
        <v>44</v>
      </c>
      <c r="C73" s="45" t="s">
        <v>131</v>
      </c>
      <c r="D73" s="45">
        <v>8</v>
      </c>
      <c r="E73" s="46" t="s">
        <v>132</v>
      </c>
    </row>
    <row r="74" spans="1:5" ht="18" customHeight="1">
      <c r="A74" s="161"/>
      <c r="B74" s="169" t="s">
        <v>80</v>
      </c>
      <c r="C74" s="170"/>
      <c r="D74" s="170"/>
      <c r="E74" s="171"/>
    </row>
    <row r="75" spans="1:5" ht="18" customHeight="1">
      <c r="A75" s="161"/>
      <c r="B75" s="169" t="s">
        <v>60</v>
      </c>
      <c r="C75" s="170"/>
      <c r="D75" s="170"/>
      <c r="E75" s="171"/>
    </row>
    <row r="76" spans="1:5" ht="18" customHeight="1">
      <c r="A76" s="161"/>
      <c r="B76" s="44" t="s">
        <v>44</v>
      </c>
      <c r="C76" s="45" t="s">
        <v>133</v>
      </c>
      <c r="D76" s="45">
        <v>8</v>
      </c>
      <c r="E76" s="46" t="s">
        <v>134</v>
      </c>
    </row>
    <row r="77" spans="1:5" ht="18" customHeight="1">
      <c r="A77" s="161"/>
      <c r="B77" s="169" t="s">
        <v>80</v>
      </c>
      <c r="C77" s="170"/>
      <c r="D77" s="170"/>
      <c r="E77" s="171"/>
    </row>
    <row r="78" spans="1:5" ht="18" customHeight="1">
      <c r="A78" s="161"/>
      <c r="B78" s="170" t="s">
        <v>60</v>
      </c>
      <c r="C78" s="172"/>
      <c r="D78" s="172"/>
      <c r="E78" s="173"/>
    </row>
    <row r="79" spans="1:5" ht="18" customHeight="1">
      <c r="A79" s="161"/>
      <c r="B79" s="44" t="s">
        <v>44</v>
      </c>
      <c r="C79" s="45" t="s">
        <v>1237</v>
      </c>
      <c r="D79" s="45">
        <v>8</v>
      </c>
      <c r="E79" s="46" t="s">
        <v>1246</v>
      </c>
    </row>
    <row r="80" spans="1:5" ht="18" customHeight="1">
      <c r="A80" s="161"/>
      <c r="B80" s="169" t="s">
        <v>80</v>
      </c>
      <c r="C80" s="170"/>
      <c r="D80" s="170"/>
      <c r="E80" s="171"/>
    </row>
    <row r="81" spans="1:5" ht="18" customHeight="1">
      <c r="A81" s="161"/>
      <c r="B81" s="44" t="s">
        <v>15</v>
      </c>
      <c r="C81" s="45" t="s">
        <v>1277</v>
      </c>
      <c r="D81" s="45">
        <v>4</v>
      </c>
      <c r="E81" s="46" t="s">
        <v>1278</v>
      </c>
    </row>
    <row r="82" spans="1:5" ht="18" customHeight="1">
      <c r="A82" s="161"/>
      <c r="B82" s="44" t="s">
        <v>15</v>
      </c>
      <c r="C82" s="45" t="s">
        <v>137</v>
      </c>
      <c r="D82" s="45">
        <v>4</v>
      </c>
      <c r="E82" s="48" t="s">
        <v>1303</v>
      </c>
    </row>
    <row r="83" spans="1:5" ht="18" customHeight="1">
      <c r="A83" s="161"/>
      <c r="B83" s="44" t="s">
        <v>1294</v>
      </c>
      <c r="C83" s="45" t="s">
        <v>1285</v>
      </c>
      <c r="D83" s="45">
        <v>4</v>
      </c>
      <c r="E83" s="48" t="s">
        <v>140</v>
      </c>
    </row>
    <row r="84" spans="1:5" ht="18" customHeight="1">
      <c r="A84" s="161"/>
      <c r="B84" s="44" t="s">
        <v>1295</v>
      </c>
      <c r="C84" s="45" t="s">
        <v>1325</v>
      </c>
      <c r="D84" s="45">
        <v>1</v>
      </c>
      <c r="E84" s="48" t="s">
        <v>1323</v>
      </c>
    </row>
    <row r="85" spans="1:5" ht="18" customHeight="1">
      <c r="A85" s="161"/>
      <c r="B85" s="44" t="s">
        <v>1295</v>
      </c>
      <c r="C85" s="45" t="s">
        <v>1322</v>
      </c>
      <c r="D85" s="45">
        <v>1</v>
      </c>
      <c r="E85" s="48" t="s">
        <v>1324</v>
      </c>
    </row>
    <row r="86" spans="1:5" ht="18" customHeight="1">
      <c r="A86" s="165"/>
      <c r="B86" s="44" t="s">
        <v>1295</v>
      </c>
      <c r="C86" s="45" t="s">
        <v>1237</v>
      </c>
      <c r="D86" s="59">
        <v>1</v>
      </c>
      <c r="E86" s="46" t="s">
        <v>1246</v>
      </c>
    </row>
    <row r="87" spans="1:5" ht="18" customHeight="1" thickBot="1">
      <c r="A87" s="154"/>
      <c r="B87" s="44" t="s">
        <v>1295</v>
      </c>
      <c r="C87" s="23" t="s">
        <v>1237</v>
      </c>
      <c r="D87" s="23">
        <v>1</v>
      </c>
      <c r="E87" s="46" t="s">
        <v>1246</v>
      </c>
    </row>
    <row r="88" spans="1:5" ht="18" customHeight="1" thickTop="1">
      <c r="A88" s="166" t="str">
        <f>"Robot masterboard sub-package("&amp;SUM(D88:D112)&amp;" bytes)"</f>
        <v>Robot masterboard sub-package(88 bytes)</v>
      </c>
      <c r="B88" s="49" t="s">
        <v>15</v>
      </c>
      <c r="C88" s="50" t="s">
        <v>143</v>
      </c>
      <c r="D88" s="50">
        <v>4</v>
      </c>
      <c r="E88" s="51" t="s">
        <v>22</v>
      </c>
    </row>
    <row r="89" spans="1:5" ht="18" customHeight="1">
      <c r="A89" s="167"/>
      <c r="B89" s="28" t="s">
        <v>18</v>
      </c>
      <c r="C89" s="29" t="s">
        <v>144</v>
      </c>
      <c r="D89" s="29">
        <v>1</v>
      </c>
      <c r="E89" s="30" t="s">
        <v>145</v>
      </c>
    </row>
    <row r="90" spans="1:5" ht="18" customHeight="1">
      <c r="A90" s="167"/>
      <c r="B90" s="28" t="s">
        <v>15</v>
      </c>
      <c r="C90" s="29" t="s">
        <v>146</v>
      </c>
      <c r="D90" s="29">
        <v>4</v>
      </c>
      <c r="E90" s="30" t="s">
        <v>1248</v>
      </c>
    </row>
    <row r="91" spans="1:5" ht="18" customHeight="1">
      <c r="A91" s="167"/>
      <c r="B91" s="28" t="s">
        <v>15</v>
      </c>
      <c r="C91" s="29" t="s">
        <v>148</v>
      </c>
      <c r="D91" s="29">
        <v>4</v>
      </c>
      <c r="E91" s="30" t="s">
        <v>1249</v>
      </c>
    </row>
    <row r="92" spans="1:5" ht="18" customHeight="1">
      <c r="A92" s="167"/>
      <c r="B92" s="28" t="s">
        <v>18</v>
      </c>
      <c r="C92" s="29" t="s">
        <v>150</v>
      </c>
      <c r="D92" s="29">
        <v>1</v>
      </c>
      <c r="E92" s="56" t="s">
        <v>1250</v>
      </c>
    </row>
    <row r="93" spans="1:5" ht="18" customHeight="1">
      <c r="A93" s="167"/>
      <c r="B93" s="28" t="s">
        <v>18</v>
      </c>
      <c r="C93" s="29" t="s">
        <v>152</v>
      </c>
      <c r="D93" s="29">
        <v>1</v>
      </c>
      <c r="E93" s="56" t="s">
        <v>1251</v>
      </c>
    </row>
    <row r="94" spans="1:5" ht="18" customHeight="1">
      <c r="A94" s="167"/>
      <c r="B94" s="28" t="s">
        <v>18</v>
      </c>
      <c r="C94" s="29" t="s">
        <v>154</v>
      </c>
      <c r="D94" s="29">
        <v>1</v>
      </c>
      <c r="E94" s="56" t="s">
        <v>1252</v>
      </c>
    </row>
    <row r="95" spans="1:5" ht="18" customHeight="1">
      <c r="A95" s="167"/>
      <c r="B95" s="28" t="s">
        <v>44</v>
      </c>
      <c r="C95" s="29" t="s">
        <v>156</v>
      </c>
      <c r="D95" s="29">
        <v>8</v>
      </c>
      <c r="E95" s="30" t="s">
        <v>1253</v>
      </c>
    </row>
    <row r="96" spans="1:5" ht="18" customHeight="1">
      <c r="A96" s="167"/>
      <c r="B96" s="28" t="s">
        <v>44</v>
      </c>
      <c r="C96" s="29" t="s">
        <v>158</v>
      </c>
      <c r="D96" s="29">
        <v>8</v>
      </c>
      <c r="E96" s="30" t="s">
        <v>1254</v>
      </c>
    </row>
    <row r="97" spans="1:5" ht="18" customHeight="1">
      <c r="A97" s="167"/>
      <c r="B97" s="28" t="s">
        <v>44</v>
      </c>
      <c r="C97" s="29" t="s">
        <v>160</v>
      </c>
      <c r="D97" s="29">
        <v>8</v>
      </c>
      <c r="E97" s="30" t="s">
        <v>1255</v>
      </c>
    </row>
    <row r="98" spans="1:5" ht="18" customHeight="1">
      <c r="A98" s="167"/>
      <c r="B98" s="28" t="s">
        <v>18</v>
      </c>
      <c r="C98" s="29" t="s">
        <v>162</v>
      </c>
      <c r="D98" s="29">
        <v>1</v>
      </c>
      <c r="E98" s="56" t="s">
        <v>1256</v>
      </c>
    </row>
    <row r="99" spans="1:5" ht="18" customHeight="1">
      <c r="A99" s="167"/>
      <c r="B99" s="28" t="s">
        <v>18</v>
      </c>
      <c r="C99" s="29" t="s">
        <v>164</v>
      </c>
      <c r="D99" s="29">
        <v>1</v>
      </c>
      <c r="E99" s="56" t="s">
        <v>1257</v>
      </c>
    </row>
    <row r="100" spans="1:5" ht="18" customHeight="1">
      <c r="A100" s="167"/>
      <c r="B100" s="28" t="s">
        <v>18</v>
      </c>
      <c r="C100" s="29" t="s">
        <v>166</v>
      </c>
      <c r="D100" s="29">
        <v>1</v>
      </c>
      <c r="E100" s="56" t="s">
        <v>1258</v>
      </c>
    </row>
    <row r="101" spans="1:5" ht="18" customHeight="1">
      <c r="A101" s="167"/>
      <c r="B101" s="28" t="s">
        <v>44</v>
      </c>
      <c r="C101" s="29" t="s">
        <v>168</v>
      </c>
      <c r="D101" s="29">
        <v>8</v>
      </c>
      <c r="E101" s="30" t="s">
        <v>1259</v>
      </c>
    </row>
    <row r="102" spans="1:5" ht="18" customHeight="1">
      <c r="A102" s="167"/>
      <c r="B102" s="28" t="s">
        <v>44</v>
      </c>
      <c r="C102" s="29" t="s">
        <v>170</v>
      </c>
      <c r="D102" s="29">
        <v>8</v>
      </c>
      <c r="E102" s="30" t="s">
        <v>1260</v>
      </c>
    </row>
    <row r="103" spans="1:5" ht="18" customHeight="1">
      <c r="A103" s="167"/>
      <c r="B103" s="28" t="s">
        <v>44</v>
      </c>
      <c r="C103" s="29" t="s">
        <v>172</v>
      </c>
      <c r="D103" s="29">
        <v>8</v>
      </c>
      <c r="E103" s="30" t="s">
        <v>1261</v>
      </c>
    </row>
    <row r="104" spans="1:5" ht="18" customHeight="1">
      <c r="A104" s="167"/>
      <c r="B104" s="28" t="s">
        <v>68</v>
      </c>
      <c r="C104" s="29" t="s">
        <v>1279</v>
      </c>
      <c r="D104" s="29">
        <v>4</v>
      </c>
      <c r="E104" s="30" t="s">
        <v>1282</v>
      </c>
    </row>
    <row r="105" spans="1:5" ht="18" customHeight="1">
      <c r="A105" s="167"/>
      <c r="B105" s="28" t="s">
        <v>68</v>
      </c>
      <c r="C105" s="29" t="s">
        <v>176</v>
      </c>
      <c r="D105" s="29">
        <v>4</v>
      </c>
      <c r="E105" s="30" t="s">
        <v>177</v>
      </c>
    </row>
    <row r="106" spans="1:5" ht="18" customHeight="1">
      <c r="A106" s="167"/>
      <c r="B106" s="28" t="s">
        <v>68</v>
      </c>
      <c r="C106" s="29" t="s">
        <v>178</v>
      </c>
      <c r="D106" s="29">
        <v>4</v>
      </c>
      <c r="E106" s="30" t="s">
        <v>179</v>
      </c>
    </row>
    <row r="107" spans="1:5" ht="18" customHeight="1">
      <c r="A107" s="167"/>
      <c r="B107" s="28" t="s">
        <v>68</v>
      </c>
      <c r="C107" s="29" t="s">
        <v>180</v>
      </c>
      <c r="D107" s="29">
        <v>4</v>
      </c>
      <c r="E107" s="84" t="s">
        <v>1262</v>
      </c>
    </row>
    <row r="108" spans="1:5" ht="18" customHeight="1">
      <c r="A108" s="167"/>
      <c r="B108" s="28" t="s">
        <v>18</v>
      </c>
      <c r="C108" s="29" t="s">
        <v>1272</v>
      </c>
      <c r="D108" s="29">
        <v>1</v>
      </c>
      <c r="E108" s="31" t="s">
        <v>1280</v>
      </c>
    </row>
    <row r="109" spans="1:5" ht="18" customHeight="1">
      <c r="A109" s="167"/>
      <c r="B109" s="28" t="s">
        <v>28</v>
      </c>
      <c r="C109" s="29" t="s">
        <v>184</v>
      </c>
      <c r="D109" s="29">
        <v>1</v>
      </c>
      <c r="E109" s="30" t="s">
        <v>1281</v>
      </c>
    </row>
    <row r="110" spans="1:5" ht="18" customHeight="1">
      <c r="A110" s="167"/>
      <c r="B110" s="28" t="s">
        <v>28</v>
      </c>
      <c r="C110" s="29" t="s">
        <v>1265</v>
      </c>
      <c r="D110" s="29">
        <v>1</v>
      </c>
      <c r="E110" s="30" t="s">
        <v>1263</v>
      </c>
    </row>
    <row r="111" spans="1:5" ht="18" customHeight="1">
      <c r="A111" s="167"/>
      <c r="B111" s="28" t="s">
        <v>28</v>
      </c>
      <c r="C111" s="29" t="s">
        <v>1266</v>
      </c>
      <c r="D111" s="29">
        <v>1</v>
      </c>
      <c r="E111" s="30" t="s">
        <v>1264</v>
      </c>
    </row>
    <row r="112" spans="1:5" ht="18" customHeight="1" thickBot="1">
      <c r="A112" s="168"/>
      <c r="B112" s="52" t="s">
        <v>18</v>
      </c>
      <c r="C112" s="53" t="s">
        <v>1283</v>
      </c>
      <c r="D112" s="53">
        <v>1</v>
      </c>
      <c r="E112" s="30" t="s">
        <v>1273</v>
      </c>
    </row>
    <row r="113" spans="1:5" ht="18" customHeight="1" thickTop="1">
      <c r="A113" s="153" t="str">
        <f>"Robot additional information sub-package("&amp;SUM(D113:D119)&amp;" bytes)"</f>
        <v>Robot additional information sub-package(10 bytes)</v>
      </c>
      <c r="B113" s="41" t="s">
        <v>15</v>
      </c>
      <c r="C113" s="42" t="s">
        <v>192</v>
      </c>
      <c r="D113" s="42">
        <v>4</v>
      </c>
      <c r="E113" s="43" t="s">
        <v>22</v>
      </c>
    </row>
    <row r="114" spans="1:5" ht="18" customHeight="1">
      <c r="A114" s="161"/>
      <c r="B114" s="44" t="s">
        <v>18</v>
      </c>
      <c r="C114" s="45" t="s">
        <v>193</v>
      </c>
      <c r="D114" s="45">
        <v>1</v>
      </c>
      <c r="E114" s="46" t="s">
        <v>194</v>
      </c>
    </row>
    <row r="115" spans="1:5" ht="18" customHeight="1">
      <c r="A115" s="161"/>
      <c r="B115" s="44" t="s">
        <v>28</v>
      </c>
      <c r="C115" s="45" t="s">
        <v>195</v>
      </c>
      <c r="D115" s="45">
        <v>1</v>
      </c>
      <c r="E115" s="46" t="s">
        <v>196</v>
      </c>
    </row>
    <row r="116" spans="1:5" ht="18" customHeight="1">
      <c r="A116" s="161"/>
      <c r="B116" s="44" t="s">
        <v>28</v>
      </c>
      <c r="C116" s="45" t="s">
        <v>1237</v>
      </c>
      <c r="D116" s="45">
        <v>1</v>
      </c>
      <c r="E116" s="46" t="s">
        <v>1246</v>
      </c>
    </row>
    <row r="117" spans="1:5" ht="18" customHeight="1">
      <c r="A117" s="161"/>
      <c r="B117" s="44" t="s">
        <v>28</v>
      </c>
      <c r="C117" s="45" t="s">
        <v>197</v>
      </c>
      <c r="D117" s="45">
        <v>1</v>
      </c>
      <c r="E117" s="46" t="s">
        <v>1267</v>
      </c>
    </row>
    <row r="118" spans="1:5" ht="18" customHeight="1">
      <c r="A118" s="165"/>
      <c r="B118" s="58" t="s">
        <v>28</v>
      </c>
      <c r="C118" s="59" t="s">
        <v>199</v>
      </c>
      <c r="D118" s="59">
        <v>1</v>
      </c>
      <c r="E118" s="60" t="s">
        <v>200</v>
      </c>
    </row>
    <row r="119" spans="1:5" ht="18" customHeight="1" thickBot="1">
      <c r="A119" s="154"/>
      <c r="B119" s="22" t="s">
        <v>18</v>
      </c>
      <c r="C119" s="23" t="s">
        <v>1237</v>
      </c>
      <c r="D119" s="23">
        <v>1</v>
      </c>
      <c r="E119" s="24" t="s">
        <v>1246</v>
      </c>
    </row>
    <row r="120" spans="1:5" ht="18" customHeight="1" thickTop="1">
      <c r="A120" s="158" t="str">
        <f>"Robot tool data sub-package("&amp;SUM(D120:D130)&amp;" bytes)"</f>
        <v>Robot tool data sub-package(37 bytes)</v>
      </c>
      <c r="B120" s="85" t="s">
        <v>15</v>
      </c>
      <c r="C120" s="86" t="s">
        <v>201</v>
      </c>
      <c r="D120" s="86">
        <v>4</v>
      </c>
      <c r="E120" s="87" t="s">
        <v>22</v>
      </c>
    </row>
    <row r="121" spans="1:5" ht="18" customHeight="1">
      <c r="A121" s="159"/>
      <c r="B121" s="88" t="s">
        <v>18</v>
      </c>
      <c r="C121" s="89" t="s">
        <v>202</v>
      </c>
      <c r="D121" s="89">
        <v>1</v>
      </c>
      <c r="E121" s="90" t="s">
        <v>203</v>
      </c>
    </row>
    <row r="122" spans="1:5" ht="18" customHeight="1">
      <c r="A122" s="159"/>
      <c r="B122" s="88" t="s">
        <v>18</v>
      </c>
      <c r="C122" s="89" t="s">
        <v>166</v>
      </c>
      <c r="D122" s="89">
        <v>1</v>
      </c>
      <c r="E122" s="34" t="s">
        <v>1268</v>
      </c>
    </row>
    <row r="123" spans="1:5" ht="18" customHeight="1">
      <c r="A123" s="159"/>
      <c r="B123" s="88" t="s">
        <v>18</v>
      </c>
      <c r="C123" s="89" t="s">
        <v>154</v>
      </c>
      <c r="D123" s="89">
        <v>1</v>
      </c>
      <c r="E123" s="34" t="s">
        <v>1269</v>
      </c>
    </row>
    <row r="124" spans="1:5" ht="18" customHeight="1">
      <c r="A124" s="159"/>
      <c r="B124" s="88" t="s">
        <v>44</v>
      </c>
      <c r="C124" s="89" t="s">
        <v>172</v>
      </c>
      <c r="D124" s="89">
        <v>8</v>
      </c>
      <c r="E124" s="90" t="s">
        <v>1270</v>
      </c>
    </row>
    <row r="125" spans="1:5" ht="18" customHeight="1">
      <c r="A125" s="159"/>
      <c r="B125" s="88" t="s">
        <v>44</v>
      </c>
      <c r="C125" s="89" t="s">
        <v>160</v>
      </c>
      <c r="D125" s="89">
        <v>8</v>
      </c>
      <c r="E125" s="90" t="s">
        <v>1271</v>
      </c>
    </row>
    <row r="126" spans="1:5" ht="18" customHeight="1">
      <c r="A126" s="159"/>
      <c r="B126" s="88" t="s">
        <v>68</v>
      </c>
      <c r="C126" s="89" t="s">
        <v>208</v>
      </c>
      <c r="D126" s="89">
        <v>4</v>
      </c>
      <c r="E126" s="90" t="s">
        <v>209</v>
      </c>
    </row>
    <row r="127" spans="1:5" ht="18" customHeight="1">
      <c r="A127" s="159"/>
      <c r="B127" s="88" t="s">
        <v>18</v>
      </c>
      <c r="C127" s="89" t="s">
        <v>210</v>
      </c>
      <c r="D127" s="89">
        <v>1</v>
      </c>
      <c r="E127" s="34" t="s">
        <v>211</v>
      </c>
    </row>
    <row r="128" spans="1:5" ht="18" customHeight="1">
      <c r="A128" s="159"/>
      <c r="B128" s="88" t="s">
        <v>68</v>
      </c>
      <c r="C128" s="89" t="s">
        <v>212</v>
      </c>
      <c r="D128" s="89">
        <v>4</v>
      </c>
      <c r="E128" s="90" t="s">
        <v>213</v>
      </c>
    </row>
    <row r="129" spans="1:5" ht="18" customHeight="1">
      <c r="A129" s="159"/>
      <c r="B129" s="88" t="s">
        <v>68</v>
      </c>
      <c r="C129" s="89" t="s">
        <v>214</v>
      </c>
      <c r="D129" s="89">
        <v>4</v>
      </c>
      <c r="E129" s="90" t="s">
        <v>215</v>
      </c>
    </row>
    <row r="130" spans="1:5" ht="18" customHeight="1" thickBot="1">
      <c r="A130" s="160"/>
      <c r="B130" s="91" t="s">
        <v>18</v>
      </c>
      <c r="C130" s="92" t="s">
        <v>216</v>
      </c>
      <c r="D130" s="92">
        <v>1</v>
      </c>
      <c r="E130" s="93" t="s">
        <v>217</v>
      </c>
    </row>
    <row r="131" spans="1:5" ht="18" customHeight="1" thickTop="1">
      <c r="A131" s="153" t="str">
        <f>"Robot satety mode sub-package("&amp;SUM(D131:D139)&amp;" bytes)"</f>
        <v>Robot satety mode sub-package(43 bytes)</v>
      </c>
      <c r="B131" s="41" t="s">
        <v>15</v>
      </c>
      <c r="C131" s="42" t="s">
        <v>218</v>
      </c>
      <c r="D131" s="42">
        <v>4</v>
      </c>
      <c r="E131" s="43" t="s">
        <v>22</v>
      </c>
    </row>
    <row r="132" spans="1:5" ht="18" customHeight="1">
      <c r="A132" s="161"/>
      <c r="B132" s="44" t="s">
        <v>18</v>
      </c>
      <c r="C132" s="45" t="s">
        <v>219</v>
      </c>
      <c r="D132" s="45">
        <v>1</v>
      </c>
      <c r="E132" s="46" t="s">
        <v>220</v>
      </c>
    </row>
    <row r="133" spans="1:5" ht="18" customHeight="1">
      <c r="A133" s="161"/>
      <c r="B133" s="44" t="s">
        <v>15</v>
      </c>
      <c r="C133" s="45" t="s">
        <v>221</v>
      </c>
      <c r="D133" s="45">
        <v>4</v>
      </c>
      <c r="E133" s="46" t="s">
        <v>222</v>
      </c>
    </row>
    <row r="134" spans="1:5" ht="18" customHeight="1">
      <c r="A134" s="161"/>
      <c r="B134" s="44" t="s">
        <v>223</v>
      </c>
      <c r="C134" s="45" t="s">
        <v>224</v>
      </c>
      <c r="D134" s="45">
        <v>1</v>
      </c>
      <c r="E134" s="94" t="s">
        <v>225</v>
      </c>
    </row>
    <row r="135" spans="1:5" ht="18" customHeight="1">
      <c r="A135" s="161"/>
      <c r="B135" s="44" t="s">
        <v>18</v>
      </c>
      <c r="C135" s="45" t="s">
        <v>1237</v>
      </c>
      <c r="D135" s="45">
        <v>1</v>
      </c>
      <c r="E135" s="46" t="s">
        <v>1246</v>
      </c>
    </row>
    <row r="136" spans="1:5" ht="18" customHeight="1">
      <c r="A136" s="161"/>
      <c r="B136" s="44" t="s">
        <v>44</v>
      </c>
      <c r="C136" s="45" t="s">
        <v>226</v>
      </c>
      <c r="D136" s="45">
        <v>8</v>
      </c>
      <c r="E136" s="46" t="s">
        <v>227</v>
      </c>
    </row>
    <row r="137" spans="1:5" ht="18" customHeight="1">
      <c r="A137" s="161"/>
      <c r="B137" s="44" t="s">
        <v>44</v>
      </c>
      <c r="C137" s="45" t="s">
        <v>228</v>
      </c>
      <c r="D137" s="45">
        <v>8</v>
      </c>
      <c r="E137" s="46" t="s">
        <v>229</v>
      </c>
    </row>
    <row r="138" spans="1:5" ht="18" customHeight="1">
      <c r="A138" s="161"/>
      <c r="B138" s="44" t="s">
        <v>44</v>
      </c>
      <c r="C138" s="45" t="s">
        <v>230</v>
      </c>
      <c r="D138" s="45">
        <v>8</v>
      </c>
      <c r="E138" s="46" t="s">
        <v>231</v>
      </c>
    </row>
    <row r="139" spans="1:5" ht="18" customHeight="1" thickBot="1">
      <c r="A139" s="154"/>
      <c r="B139" s="22" t="s">
        <v>44</v>
      </c>
      <c r="C139" s="23" t="s">
        <v>232</v>
      </c>
      <c r="D139" s="23">
        <v>8</v>
      </c>
      <c r="E139" s="24" t="s">
        <v>233</v>
      </c>
    </row>
    <row r="140" spans="1:5" ht="18" customHeight="1" thickTop="1">
      <c r="A140" s="158" t="str">
        <f>"Robot communication sub-package("&amp;SUM(D140:D149)&amp;" bytes)"</f>
        <v>Robot communication sub-package(28 bytes)</v>
      </c>
      <c r="B140" s="85" t="s">
        <v>15</v>
      </c>
      <c r="C140" s="86" t="s">
        <v>234</v>
      </c>
      <c r="D140" s="86">
        <v>4</v>
      </c>
      <c r="E140" s="87" t="s">
        <v>22</v>
      </c>
    </row>
    <row r="141" spans="1:5" ht="18" customHeight="1">
      <c r="A141" s="159"/>
      <c r="B141" s="88" t="s">
        <v>18</v>
      </c>
      <c r="C141" s="89" t="s">
        <v>235</v>
      </c>
      <c r="D141" s="89">
        <v>1</v>
      </c>
      <c r="E141" s="90" t="s">
        <v>236</v>
      </c>
    </row>
    <row r="142" spans="1:5" ht="18" customHeight="1">
      <c r="A142" s="159"/>
      <c r="B142" s="88" t="s">
        <v>28</v>
      </c>
      <c r="C142" s="89" t="s">
        <v>237</v>
      </c>
      <c r="D142" s="89">
        <v>1</v>
      </c>
      <c r="E142" s="90" t="s">
        <v>238</v>
      </c>
    </row>
    <row r="143" spans="1:5" ht="18" customHeight="1">
      <c r="A143" s="159"/>
      <c r="B143" s="88" t="s">
        <v>15</v>
      </c>
      <c r="C143" s="89" t="s">
        <v>239</v>
      </c>
      <c r="D143" s="89">
        <v>4</v>
      </c>
      <c r="E143" s="90" t="s">
        <v>240</v>
      </c>
    </row>
    <row r="144" spans="1:5" ht="18" customHeight="1">
      <c r="A144" s="159"/>
      <c r="B144" s="88" t="s">
        <v>15</v>
      </c>
      <c r="C144" s="89" t="s">
        <v>241</v>
      </c>
      <c r="D144" s="89">
        <v>4</v>
      </c>
      <c r="E144" s="95" t="s">
        <v>242</v>
      </c>
    </row>
    <row r="145" spans="1:5" ht="18" customHeight="1">
      <c r="A145" s="159"/>
      <c r="B145" s="88" t="s">
        <v>15</v>
      </c>
      <c r="C145" s="89" t="s">
        <v>243</v>
      </c>
      <c r="D145" s="89">
        <v>4</v>
      </c>
      <c r="E145" s="95" t="s">
        <v>244</v>
      </c>
    </row>
    <row r="146" spans="1:5" ht="18" customHeight="1">
      <c r="A146" s="159"/>
      <c r="B146" s="88" t="s">
        <v>28</v>
      </c>
      <c r="C146" s="89" t="s">
        <v>245</v>
      </c>
      <c r="D146" s="89">
        <v>1</v>
      </c>
      <c r="E146" s="95" t="s">
        <v>246</v>
      </c>
    </row>
    <row r="147" spans="1:5" ht="18" customHeight="1">
      <c r="A147" s="159"/>
      <c r="B147" s="102" t="s">
        <v>18</v>
      </c>
      <c r="C147" s="103" t="s">
        <v>357</v>
      </c>
      <c r="D147" s="103">
        <v>1</v>
      </c>
      <c r="E147" s="104" t="s">
        <v>358</v>
      </c>
    </row>
    <row r="148" spans="1:5" ht="18" customHeight="1">
      <c r="A148" s="159"/>
      <c r="B148" s="88" t="s">
        <v>68</v>
      </c>
      <c r="C148" s="89" t="s">
        <v>1237</v>
      </c>
      <c r="D148" s="89">
        <v>4</v>
      </c>
      <c r="E148" s="90" t="s">
        <v>1246</v>
      </c>
    </row>
    <row r="149" spans="1:5" ht="18" customHeight="1" thickBot="1">
      <c r="A149" s="160"/>
      <c r="B149" s="91" t="s">
        <v>68</v>
      </c>
      <c r="C149" s="92" t="s">
        <v>1237</v>
      </c>
      <c r="D149" s="92">
        <v>4</v>
      </c>
      <c r="E149" s="96" t="s">
        <v>1246</v>
      </c>
    </row>
    <row r="150" spans="1:5" ht="18" customHeight="1" thickTop="1">
      <c r="B150" s="97"/>
      <c r="C150" s="98"/>
      <c r="D150" s="98"/>
    </row>
    <row r="151" spans="1:5" ht="18" customHeight="1" thickBot="1">
      <c r="B151" s="97"/>
      <c r="C151" s="98"/>
      <c r="D151" s="98"/>
    </row>
    <row r="152" spans="1:5" ht="18" customHeight="1" thickTop="1">
      <c r="A152" s="162" t="s">
        <v>390</v>
      </c>
      <c r="B152" s="162"/>
      <c r="C152" s="162"/>
      <c r="D152" s="162"/>
      <c r="E152" s="163"/>
    </row>
    <row r="153" spans="1:5" ht="18" customHeight="1" thickBot="1">
      <c r="A153" s="105"/>
      <c r="B153" s="106" t="s">
        <v>381</v>
      </c>
      <c r="C153" s="106" t="s">
        <v>382</v>
      </c>
      <c r="D153" s="106" t="s">
        <v>383</v>
      </c>
      <c r="E153" s="107" t="s">
        <v>384</v>
      </c>
    </row>
    <row r="154" spans="1:5" ht="18" customHeight="1" thickTop="1">
      <c r="A154" s="153" t="s">
        <v>397</v>
      </c>
      <c r="B154" s="108" t="s">
        <v>360</v>
      </c>
      <c r="C154" s="109" t="s">
        <v>361</v>
      </c>
      <c r="D154" s="109">
        <v>4</v>
      </c>
      <c r="E154" s="43" t="s">
        <v>386</v>
      </c>
    </row>
    <row r="155" spans="1:5" ht="18" customHeight="1" thickBot="1">
      <c r="A155" s="154"/>
      <c r="B155" s="110" t="s">
        <v>362</v>
      </c>
      <c r="C155" s="111" t="s">
        <v>363</v>
      </c>
      <c r="D155" s="111">
        <v>1</v>
      </c>
      <c r="E155" s="24" t="s">
        <v>389</v>
      </c>
    </row>
    <row r="156" spans="1:5" ht="18" customHeight="1" thickTop="1">
      <c r="A156" s="164" t="s">
        <v>399</v>
      </c>
      <c r="B156" s="112" t="s">
        <v>364</v>
      </c>
      <c r="C156" s="113" t="s">
        <v>26</v>
      </c>
      <c r="D156" s="113">
        <v>8</v>
      </c>
      <c r="E156" s="114" t="s">
        <v>392</v>
      </c>
    </row>
    <row r="157" spans="1:5" ht="18" customHeight="1">
      <c r="A157" s="156"/>
      <c r="B157" s="115" t="s">
        <v>362</v>
      </c>
      <c r="C157" s="116" t="s">
        <v>359</v>
      </c>
      <c r="D157" s="116">
        <v>1</v>
      </c>
      <c r="E157" s="117" t="s">
        <v>359</v>
      </c>
    </row>
    <row r="158" spans="1:5" ht="18" customHeight="1">
      <c r="A158" s="156"/>
      <c r="B158" s="115" t="s">
        <v>362</v>
      </c>
      <c r="C158" s="116" t="s">
        <v>366</v>
      </c>
      <c r="D158" s="116">
        <v>1</v>
      </c>
      <c r="E158" s="117" t="s">
        <v>403</v>
      </c>
    </row>
    <row r="159" spans="1:5" ht="18" customHeight="1">
      <c r="A159" s="156"/>
      <c r="B159" s="115" t="s">
        <v>367</v>
      </c>
      <c r="C159" s="116" t="s">
        <v>368</v>
      </c>
      <c r="D159" s="116">
        <v>4</v>
      </c>
      <c r="E159" s="117" t="s">
        <v>393</v>
      </c>
    </row>
    <row r="160" spans="1:5" ht="18" customHeight="1">
      <c r="A160" s="156"/>
      <c r="B160" s="115" t="s">
        <v>367</v>
      </c>
      <c r="C160" s="116" t="s">
        <v>369</v>
      </c>
      <c r="D160" s="116">
        <v>4</v>
      </c>
      <c r="E160" s="117" t="s">
        <v>394</v>
      </c>
    </row>
    <row r="161" spans="1:5" ht="18" customHeight="1" thickBot="1">
      <c r="A161" s="157"/>
      <c r="B161" s="118" t="s">
        <v>370</v>
      </c>
      <c r="C161" s="119" t="s">
        <v>371</v>
      </c>
      <c r="D161" s="119" t="s">
        <v>372</v>
      </c>
      <c r="E161" s="120" t="s">
        <v>395</v>
      </c>
    </row>
    <row r="162" spans="1:5" ht="18" customHeight="1" thickTop="1">
      <c r="A162" s="121"/>
      <c r="B162" s="122"/>
      <c r="C162" s="123"/>
      <c r="D162" s="123"/>
      <c r="E162" s="124"/>
    </row>
    <row r="163" spans="1:5" ht="18" customHeight="1" thickBot="1">
      <c r="A163" s="121"/>
      <c r="B163" s="122"/>
      <c r="C163" s="123"/>
      <c r="D163" s="123"/>
      <c r="E163" s="124"/>
    </row>
    <row r="164" spans="1:5" ht="18" customHeight="1" thickTop="1">
      <c r="A164" s="150" t="s">
        <v>396</v>
      </c>
      <c r="B164" s="151"/>
      <c r="C164" s="151"/>
      <c r="D164" s="151"/>
      <c r="E164" s="152"/>
    </row>
    <row r="165" spans="1:5" s="133" customFormat="1" ht="18" customHeight="1" thickBot="1">
      <c r="A165" s="131"/>
      <c r="B165" s="130" t="s">
        <v>381</v>
      </c>
      <c r="C165" s="130" t="s">
        <v>382</v>
      </c>
      <c r="D165" s="130" t="s">
        <v>383</v>
      </c>
      <c r="E165" s="132" t="s">
        <v>384</v>
      </c>
    </row>
    <row r="166" spans="1:5" ht="18" customHeight="1" thickTop="1">
      <c r="A166" s="153" t="s">
        <v>397</v>
      </c>
      <c r="B166" s="108" t="s">
        <v>360</v>
      </c>
      <c r="C166" s="109" t="s">
        <v>361</v>
      </c>
      <c r="D166" s="109">
        <v>4</v>
      </c>
      <c r="E166" s="43" t="s">
        <v>386</v>
      </c>
    </row>
    <row r="167" spans="1:5" ht="18" customHeight="1" thickBot="1">
      <c r="A167" s="154"/>
      <c r="B167" s="110" t="s">
        <v>362</v>
      </c>
      <c r="C167" s="111" t="s">
        <v>363</v>
      </c>
      <c r="D167" s="111">
        <v>1</v>
      </c>
      <c r="E167" s="24" t="s">
        <v>389</v>
      </c>
    </row>
    <row r="168" spans="1:5" ht="18" customHeight="1" thickTop="1">
      <c r="A168" s="155" t="s">
        <v>399</v>
      </c>
      <c r="B168" s="125" t="s">
        <v>364</v>
      </c>
      <c r="C168" s="126" t="s">
        <v>26</v>
      </c>
      <c r="D168" s="126">
        <v>8</v>
      </c>
      <c r="E168" s="127" t="s">
        <v>392</v>
      </c>
    </row>
    <row r="169" spans="1:5" ht="18" customHeight="1">
      <c r="A169" s="156"/>
      <c r="B169" s="115" t="s">
        <v>362</v>
      </c>
      <c r="C169" s="116" t="s">
        <v>365</v>
      </c>
      <c r="D169" s="116">
        <v>1</v>
      </c>
      <c r="E169" s="128" t="s">
        <v>400</v>
      </c>
    </row>
    <row r="170" spans="1:5" ht="18" customHeight="1">
      <c r="A170" s="156"/>
      <c r="B170" s="115" t="s">
        <v>362</v>
      </c>
      <c r="C170" s="116" t="s">
        <v>373</v>
      </c>
      <c r="D170" s="116">
        <v>1</v>
      </c>
      <c r="E170" s="117" t="s">
        <v>402</v>
      </c>
    </row>
    <row r="171" spans="1:5" ht="18" customHeight="1">
      <c r="A171" s="156"/>
      <c r="B171" s="115" t="s">
        <v>367</v>
      </c>
      <c r="C171" s="116" t="s">
        <v>374</v>
      </c>
      <c r="D171" s="116">
        <v>4</v>
      </c>
      <c r="E171" s="128" t="s">
        <v>404</v>
      </c>
    </row>
    <row r="172" spans="1:5" ht="18" customHeight="1">
      <c r="A172" s="156"/>
      <c r="B172" s="115" t="s">
        <v>367</v>
      </c>
      <c r="C172" s="116" t="s">
        <v>375</v>
      </c>
      <c r="D172" s="116">
        <v>4</v>
      </c>
      <c r="E172" s="128" t="s">
        <v>427</v>
      </c>
    </row>
    <row r="173" spans="1:5" ht="18" customHeight="1">
      <c r="A173" s="156"/>
      <c r="B173" s="115" t="s">
        <v>367</v>
      </c>
      <c r="C173" s="116" t="s">
        <v>376</v>
      </c>
      <c r="D173" s="116">
        <v>4</v>
      </c>
      <c r="E173" s="128" t="s">
        <v>405</v>
      </c>
    </row>
    <row r="174" spans="1:5" ht="18" customHeight="1">
      <c r="A174" s="156"/>
      <c r="B174" s="115" t="s">
        <v>377</v>
      </c>
      <c r="C174" s="116" t="s">
        <v>378</v>
      </c>
      <c r="D174" s="116">
        <v>4</v>
      </c>
      <c r="E174" s="128" t="s">
        <v>406</v>
      </c>
    </row>
    <row r="175" spans="1:5" ht="18" customHeight="1" thickBot="1">
      <c r="A175" s="157"/>
      <c r="B175" s="118" t="s">
        <v>379</v>
      </c>
      <c r="C175" s="119" t="s">
        <v>380</v>
      </c>
      <c r="D175" s="119" t="s">
        <v>372</v>
      </c>
      <c r="E175" s="120" t="s">
        <v>407</v>
      </c>
    </row>
    <row r="176" spans="1:5" ht="18" customHeight="1" thickTop="1"/>
  </sheetData>
  <mergeCells count="31">
    <mergeCell ref="A1:E1"/>
    <mergeCell ref="A3:A4"/>
    <mergeCell ref="A5:A23"/>
    <mergeCell ref="A24:A39"/>
    <mergeCell ref="B26:E26"/>
    <mergeCell ref="B39:E39"/>
    <mergeCell ref="A113:A119"/>
    <mergeCell ref="A40:A53"/>
    <mergeCell ref="A54:A87"/>
    <mergeCell ref="B56:E56"/>
    <mergeCell ref="B59:E59"/>
    <mergeCell ref="B60:E60"/>
    <mergeCell ref="B63:E63"/>
    <mergeCell ref="B69:E69"/>
    <mergeCell ref="B71:E71"/>
    <mergeCell ref="B72:E72"/>
    <mergeCell ref="B74:E74"/>
    <mergeCell ref="B75:E75"/>
    <mergeCell ref="B77:E77"/>
    <mergeCell ref="B78:E78"/>
    <mergeCell ref="B80:E80"/>
    <mergeCell ref="A88:A112"/>
    <mergeCell ref="A164:E164"/>
    <mergeCell ref="A166:A167"/>
    <mergeCell ref="A168:A175"/>
    <mergeCell ref="A120:A130"/>
    <mergeCell ref="A131:A139"/>
    <mergeCell ref="A140:A149"/>
    <mergeCell ref="A152:E152"/>
    <mergeCell ref="A154:A155"/>
    <mergeCell ref="A156:A161"/>
  </mergeCells>
  <phoneticPr fontId="22" type="noConversion"/>
  <hyperlinks>
    <hyperlink ref="E15" location="ROBOT_MODE!A1" display="Robot mode: Details ROBOT_MODE" xr:uid="{DF3CB1D3-79BB-4B02-91CC-483EB2E4FB41}"/>
    <hyperlink ref="E16" location="ROBOT_CONTROL_MODE!A1" display="Robot control mode: Details ROBOT_CONTROL_MODE" xr:uid="{FA27B993-BF94-41E1-9BB4-BF81479BD273}"/>
    <hyperlink ref="E37" location="JOINT_AND_TOOL_MODE!A1" display="Joint mode. Details: JOINT_AND_TOOL_MODE" xr:uid="{FA1065FF-79E1-4B0E-8224-FBE0F961A01E}"/>
    <hyperlink ref="E92:E93" location="ANALOG_DOMAIN!A1" display="Analog input IO0 configure, Details: ANALOG_DOMAIN" xr:uid="{BF5A8972-1AA6-42BD-8DD2-CA22EDB89A87}"/>
    <hyperlink ref="E94" location="ANALOG_DOMAIN!A1" display="Tool analog IO configure, Details: ANALOG_DOMAIN" xr:uid="{67E8E4AE-B60A-425F-B47E-F5CC23A0CA71}"/>
    <hyperlink ref="E98:E99" location="ANALOG_DOMAIN!A1" display="Analog output IO0 configure. Details: ANALOG_DOMAIN" xr:uid="{7830A893-487D-44C3-85E0-7F5CEBA69BD5}"/>
    <hyperlink ref="E100" location="ANALOG_DOMAIN!A1" display="Tool analog output io configure. Details: ANALOG_DOMAIN" xr:uid="{19F9F826-7160-416F-96A2-A66C19D47417}"/>
    <hyperlink ref="E108" location="SAFETY_MODE!A1" display="Motherboard aggregated mode. Details: SAFETY_MODE" xr:uid="{91833228-A138-4A9F-B871-2C46F00FB8B6}"/>
    <hyperlink ref="E130" location="JOINT_AND_TOOL_MODE!A1" display="Tool mode. Details: JOINT_AND_TOOL_MODE" xr:uid="{6380C98A-2E4B-4756-B41D-C013E757E60F}"/>
    <hyperlink ref="E122" location="ANALOG_DOMAIN!A1" display="Tool analog IO output configure. Details: ANALOG_DOMAIN" xr:uid="{21A640C4-39AC-4C85-BEF6-B6E25750215C}"/>
    <hyperlink ref="E123" location="ANALOG_DOMAIN!A1" display="Tool analog IO input configure. Details: ANALOG_DOMAIN" xr:uid="{0D3A68FF-A43F-4B9E-9916-D94287BEA651}"/>
    <hyperlink ref="E127" location="TOOL_OUTPUT_VOLTAGE!A1" display="Tool output voltage. Details: TOOL_OUTPUT_VOLTAGE" xr:uid="{947D650A-912B-4060-8748-E2AE0D7AF528}"/>
    <hyperlink ref="A1:E1" location="报文格式!A1" display="Robot's State Package（Format: Package Format）" xr:uid="{6DE02276-4498-43EB-90AB-2663215112D3}"/>
    <hyperlink ref="E134" location="SAFETY_OPERATIONAL_MODE!A1" display="Robot safety operation mode. Deltails: SAFETY_OPERATIONAL_MODE" xr:uid="{86D07676-EF8A-4595-BF58-0F1C594D8285}"/>
    <hyperlink ref="E20" location="ROBOT_SPEED_MODE!A1" display="Robot speed mode, Details: ROBOT_SPEED_MODE" xr:uid="{97A544EA-A887-407D-8B5E-37458E460DBE}"/>
    <hyperlink ref="E171" location="'Exception code'!A1" display="Exception code" xr:uid="{59754071-710E-4D65-A6CB-1F116CB9157E}"/>
    <hyperlink ref="E172" location="'Exception code'!A1" display="Exception sub-code" xr:uid="{138FC866-B6D3-44F5-98D4-AE8FA28B9CB0}"/>
    <hyperlink ref="E169" location="'Exception Source'!A1" display="Exception source" xr:uid="{63288896-33AA-42AD-9F38-716A223D4263}"/>
    <hyperlink ref="E173" location="'Exception Level'!A1" display="Exception level" xr:uid="{4DF86205-1863-456D-AB96-6FAA25A48D83}"/>
    <hyperlink ref="E174" location="ExceptionDataType!A1" display="Data type of exception" xr:uid="{538307C2-F2DA-43FC-9419-97551B76E3F9}"/>
    <hyperlink ref="E84" location="ROBOT_STRUCTURE_TYPE!A1" display="Robot structure type. Details: ROBOT_STRUCTURE_TYPE" xr:uid="{4C09B075-8F0B-44BE-9B16-44BF3FCBB450}"/>
    <hyperlink ref="E83" location="ROBOT_TYPE!A1" display="Robot Type. Details: ROBOT_TYPE" xr:uid="{DEEC22B1-FF73-4996-9CFB-83432DB3D813}"/>
    <hyperlink ref="E85" location="ROBOT_STRUCTURE_TYPE!A1" display="Robot structure type. Details: ROBOT_STRUCTURE_TYPE" xr:uid="{7753DF6C-71FA-4FE4-86C7-BB149720FF8A}"/>
    <hyperlink ref="E82" location="CONTROL_BOX_TYPE!A1" display="The type of Control Box. Details: CONTROL_BOX_TYPE" xr:uid="{73585768-0553-4694-B62E-5ACFD7BD241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5071F-0F5A-40B3-AFB2-47EF7BD35415}">
  <dimension ref="A1:E173"/>
  <sheetViews>
    <sheetView topLeftCell="B15" workbookViewId="0">
      <selection activeCell="E27" sqref="E27"/>
    </sheetView>
  </sheetViews>
  <sheetFormatPr defaultColWidth="8.875" defaultRowHeight="13.5"/>
  <cols>
    <col min="1" max="1" width="50.375" style="4" customWidth="1"/>
    <col min="2" max="2" width="15.875" style="12" customWidth="1"/>
    <col min="3" max="3" width="49.625" style="13" customWidth="1"/>
    <col min="4" max="4" width="20.375" style="13" customWidth="1"/>
    <col min="5" max="5" width="111.625" style="14" customWidth="1"/>
    <col min="6" max="16384" width="8.875" style="4"/>
  </cols>
  <sheetData>
    <row r="1" spans="1:5" s="1" customFormat="1" ht="18" customHeight="1" thickTop="1">
      <c r="A1" s="174" t="s">
        <v>10</v>
      </c>
      <c r="B1" s="175"/>
      <c r="C1" s="175"/>
      <c r="D1" s="175"/>
      <c r="E1" s="176"/>
    </row>
    <row r="2" spans="1:5" ht="18" customHeight="1" thickBot="1">
      <c r="A2" s="15"/>
      <c r="B2" s="129" t="s">
        <v>11</v>
      </c>
      <c r="C2" s="17" t="s">
        <v>12</v>
      </c>
      <c r="D2" s="17" t="s">
        <v>13</v>
      </c>
      <c r="E2" s="18" t="s">
        <v>384</v>
      </c>
    </row>
    <row r="3" spans="1:5" ht="18" customHeight="1" thickTop="1">
      <c r="A3" s="177" t="s">
        <v>398</v>
      </c>
      <c r="B3" s="19" t="s">
        <v>15</v>
      </c>
      <c r="C3" s="20" t="s">
        <v>16</v>
      </c>
      <c r="D3" s="20">
        <v>4</v>
      </c>
      <c r="E3" s="21" t="s">
        <v>386</v>
      </c>
    </row>
    <row r="4" spans="1:5" ht="18" customHeight="1" thickBot="1">
      <c r="A4" s="154"/>
      <c r="B4" s="22" t="s">
        <v>18</v>
      </c>
      <c r="C4" s="23" t="s">
        <v>19</v>
      </c>
      <c r="D4" s="23">
        <v>1</v>
      </c>
      <c r="E4" s="24" t="s">
        <v>388</v>
      </c>
    </row>
    <row r="5" spans="1:5" ht="18" customHeight="1" thickTop="1">
      <c r="A5" s="178" t="str">
        <f>"Robot mode sub-package("&amp;SUM(D5:D23)&amp;" bytes)"</f>
        <v>Robot mode sub-package(53 bytes)</v>
      </c>
      <c r="B5" s="25" t="s">
        <v>15</v>
      </c>
      <c r="C5" s="26" t="s">
        <v>21</v>
      </c>
      <c r="D5" s="26">
        <v>4</v>
      </c>
      <c r="E5" s="27" t="s">
        <v>22</v>
      </c>
    </row>
    <row r="6" spans="1:5" ht="18" customHeight="1">
      <c r="A6" s="179"/>
      <c r="B6" s="28" t="s">
        <v>18</v>
      </c>
      <c r="C6" s="29" t="s">
        <v>23</v>
      </c>
      <c r="D6" s="29">
        <v>1</v>
      </c>
      <c r="E6" s="30" t="s">
        <v>24</v>
      </c>
    </row>
    <row r="7" spans="1:5" ht="18" customHeight="1">
      <c r="A7" s="179"/>
      <c r="B7" s="28" t="s">
        <v>25</v>
      </c>
      <c r="C7" s="29" t="s">
        <v>26</v>
      </c>
      <c r="D7" s="29">
        <v>8</v>
      </c>
      <c r="E7" s="30" t="s">
        <v>391</v>
      </c>
    </row>
    <row r="8" spans="1:5" ht="18" customHeight="1">
      <c r="A8" s="179"/>
      <c r="B8" s="28" t="s">
        <v>28</v>
      </c>
      <c r="C8" s="29" t="s">
        <v>29</v>
      </c>
      <c r="D8" s="29">
        <v>1</v>
      </c>
      <c r="E8" s="30" t="s">
        <v>29</v>
      </c>
    </row>
    <row r="9" spans="1:5" ht="18" customHeight="1">
      <c r="A9" s="179"/>
      <c r="B9" s="28" t="s">
        <v>28</v>
      </c>
      <c r="C9" s="29" t="s">
        <v>29</v>
      </c>
      <c r="D9" s="29">
        <v>1</v>
      </c>
      <c r="E9" s="30" t="s">
        <v>29</v>
      </c>
    </row>
    <row r="10" spans="1:5" ht="18" customHeight="1">
      <c r="A10" s="179"/>
      <c r="B10" s="28" t="s">
        <v>28</v>
      </c>
      <c r="C10" s="29" t="s">
        <v>30</v>
      </c>
      <c r="D10" s="29">
        <v>1</v>
      </c>
      <c r="E10" s="30" t="s">
        <v>31</v>
      </c>
    </row>
    <row r="11" spans="1:5" ht="18" customHeight="1">
      <c r="A11" s="179"/>
      <c r="B11" s="28" t="s">
        <v>28</v>
      </c>
      <c r="C11" s="29" t="s">
        <v>32</v>
      </c>
      <c r="D11" s="29">
        <v>1</v>
      </c>
      <c r="E11" s="30" t="s">
        <v>33</v>
      </c>
    </row>
    <row r="12" spans="1:5" ht="18" customHeight="1">
      <c r="A12" s="179"/>
      <c r="B12" s="28" t="s">
        <v>28</v>
      </c>
      <c r="C12" s="29" t="s">
        <v>34</v>
      </c>
      <c r="D12" s="29">
        <v>1</v>
      </c>
      <c r="E12" s="30" t="s">
        <v>35</v>
      </c>
    </row>
    <row r="13" spans="1:5" ht="18" customHeight="1">
      <c r="A13" s="179"/>
      <c r="B13" s="28" t="s">
        <v>28</v>
      </c>
      <c r="C13" s="29" t="s">
        <v>36</v>
      </c>
      <c r="D13" s="29">
        <v>1</v>
      </c>
      <c r="E13" s="30" t="s">
        <v>37</v>
      </c>
    </row>
    <row r="14" spans="1:5" ht="18" customHeight="1">
      <c r="A14" s="179"/>
      <c r="B14" s="28" t="s">
        <v>28</v>
      </c>
      <c r="C14" s="29" t="s">
        <v>38</v>
      </c>
      <c r="D14" s="29">
        <v>1</v>
      </c>
      <c r="E14" s="30" t="s">
        <v>39</v>
      </c>
    </row>
    <row r="15" spans="1:5" ht="18" customHeight="1">
      <c r="A15" s="179"/>
      <c r="B15" s="28" t="s">
        <v>18</v>
      </c>
      <c r="C15" s="29" t="s">
        <v>40</v>
      </c>
      <c r="D15" s="29">
        <v>1</v>
      </c>
      <c r="E15" s="31" t="s">
        <v>41</v>
      </c>
    </row>
    <row r="16" spans="1:5" ht="18" customHeight="1">
      <c r="A16" s="179"/>
      <c r="B16" s="28" t="s">
        <v>18</v>
      </c>
      <c r="C16" s="29" t="s">
        <v>42</v>
      </c>
      <c r="D16" s="29">
        <v>1</v>
      </c>
      <c r="E16" s="31" t="s">
        <v>43</v>
      </c>
    </row>
    <row r="17" spans="1:5" ht="18" customHeight="1">
      <c r="A17" s="179"/>
      <c r="B17" s="28" t="s">
        <v>44</v>
      </c>
      <c r="C17" s="29" t="s">
        <v>45</v>
      </c>
      <c r="D17" s="29">
        <v>8</v>
      </c>
      <c r="E17" s="30" t="s">
        <v>46</v>
      </c>
    </row>
    <row r="18" spans="1:5" ht="18" customHeight="1">
      <c r="A18" s="179"/>
      <c r="B18" s="28" t="s">
        <v>44</v>
      </c>
      <c r="C18" s="29" t="s">
        <v>47</v>
      </c>
      <c r="D18" s="29">
        <v>8</v>
      </c>
      <c r="E18" s="30" t="s">
        <v>48</v>
      </c>
    </row>
    <row r="19" spans="1:5" ht="18" customHeight="1">
      <c r="A19" s="179"/>
      <c r="B19" s="28" t="s">
        <v>44</v>
      </c>
      <c r="C19" s="29" t="s">
        <v>49</v>
      </c>
      <c r="D19" s="29">
        <v>8</v>
      </c>
      <c r="E19" s="30" t="s">
        <v>50</v>
      </c>
    </row>
    <row r="20" spans="1:5" ht="18" customHeight="1">
      <c r="A20" s="179"/>
      <c r="B20" s="32" t="s">
        <v>18</v>
      </c>
      <c r="C20" s="33" t="s">
        <v>51</v>
      </c>
      <c r="D20" s="33">
        <v>1</v>
      </c>
      <c r="E20" s="34" t="s">
        <v>52</v>
      </c>
    </row>
    <row r="21" spans="1:5" ht="18" customHeight="1">
      <c r="A21" s="179"/>
      <c r="B21" s="35" t="s">
        <v>28</v>
      </c>
      <c r="C21" s="36" t="s">
        <v>53</v>
      </c>
      <c r="D21" s="36">
        <v>1</v>
      </c>
      <c r="E21" s="37" t="s">
        <v>54</v>
      </c>
    </row>
    <row r="22" spans="1:5" ht="18" customHeight="1">
      <c r="A22" s="179"/>
      <c r="B22" s="35" t="s">
        <v>28</v>
      </c>
      <c r="C22" s="36" t="s">
        <v>55</v>
      </c>
      <c r="D22" s="36">
        <v>1</v>
      </c>
      <c r="E22" s="37" t="s">
        <v>56</v>
      </c>
    </row>
    <row r="23" spans="1:5" ht="18" customHeight="1" thickBot="1">
      <c r="A23" s="180"/>
      <c r="B23" s="38" t="s">
        <v>15</v>
      </c>
      <c r="C23" s="39" t="s">
        <v>29</v>
      </c>
      <c r="D23" s="39">
        <v>4</v>
      </c>
      <c r="E23" s="40" t="s">
        <v>29</v>
      </c>
    </row>
    <row r="24" spans="1:5" ht="18" customHeight="1" thickTop="1">
      <c r="A24" s="181" t="str">
        <f>"Joint sub-package("&amp;SUM(D24:D25)+SUM(D27:D38)*6&amp;" bytes)"</f>
        <v>Joint sub-package(347 bytes)</v>
      </c>
      <c r="B24" s="41" t="s">
        <v>15</v>
      </c>
      <c r="C24" s="42" t="s">
        <v>57</v>
      </c>
      <c r="D24" s="42">
        <v>4</v>
      </c>
      <c r="E24" s="43" t="s">
        <v>22</v>
      </c>
    </row>
    <row r="25" spans="1:5" ht="18" customHeight="1">
      <c r="A25" s="182"/>
      <c r="B25" s="44" t="s">
        <v>18</v>
      </c>
      <c r="C25" s="45" t="s">
        <v>58</v>
      </c>
      <c r="D25" s="45">
        <v>1</v>
      </c>
      <c r="E25" s="46" t="s">
        <v>59</v>
      </c>
    </row>
    <row r="26" spans="1:5" ht="18" customHeight="1">
      <c r="A26" s="182"/>
      <c r="B26" s="169" t="s">
        <v>60</v>
      </c>
      <c r="C26" s="170"/>
      <c r="D26" s="170"/>
      <c r="E26" s="171"/>
    </row>
    <row r="27" spans="1:5" ht="18" customHeight="1">
      <c r="A27" s="182"/>
      <c r="B27" s="47" t="s">
        <v>44</v>
      </c>
      <c r="C27" s="45" t="s">
        <v>61</v>
      </c>
      <c r="D27" s="45">
        <v>8</v>
      </c>
      <c r="E27" s="46" t="s">
        <v>62</v>
      </c>
    </row>
    <row r="28" spans="1:5" ht="18" customHeight="1">
      <c r="A28" s="182"/>
      <c r="B28" s="47" t="s">
        <v>44</v>
      </c>
      <c r="C28" s="45" t="s">
        <v>63</v>
      </c>
      <c r="D28" s="45">
        <v>8</v>
      </c>
      <c r="E28" s="46" t="s">
        <v>64</v>
      </c>
    </row>
    <row r="29" spans="1:5" ht="18" customHeight="1">
      <c r="A29" s="182"/>
      <c r="B29" s="47" t="s">
        <v>44</v>
      </c>
      <c r="C29" s="45" t="s">
        <v>65</v>
      </c>
      <c r="D29" s="45">
        <v>8</v>
      </c>
      <c r="E29" s="46" t="s">
        <v>66</v>
      </c>
    </row>
    <row r="30" spans="1:5" ht="18" customHeight="1">
      <c r="A30" s="182"/>
      <c r="B30" s="47" t="s">
        <v>67</v>
      </c>
      <c r="C30" s="45" t="s">
        <v>29</v>
      </c>
      <c r="D30" s="45">
        <v>4</v>
      </c>
      <c r="E30" s="46" t="s">
        <v>29</v>
      </c>
    </row>
    <row r="31" spans="1:5" ht="18" customHeight="1">
      <c r="A31" s="182"/>
      <c r="B31" s="47" t="s">
        <v>67</v>
      </c>
      <c r="C31" s="45" t="s">
        <v>29</v>
      </c>
      <c r="D31" s="45">
        <v>4</v>
      </c>
      <c r="E31" s="46" t="s">
        <v>29</v>
      </c>
    </row>
    <row r="32" spans="1:5" ht="18" customHeight="1">
      <c r="A32" s="182"/>
      <c r="B32" s="47" t="s">
        <v>67</v>
      </c>
      <c r="C32" s="45" t="s">
        <v>29</v>
      </c>
      <c r="D32" s="45">
        <v>4</v>
      </c>
      <c r="E32" s="46" t="s">
        <v>29</v>
      </c>
    </row>
    <row r="33" spans="1:5" ht="18" customHeight="1">
      <c r="A33" s="182"/>
      <c r="B33" s="47" t="s">
        <v>68</v>
      </c>
      <c r="C33" s="45" t="s">
        <v>69</v>
      </c>
      <c r="D33" s="45">
        <v>4</v>
      </c>
      <c r="E33" s="46" t="s">
        <v>70</v>
      </c>
    </row>
    <row r="34" spans="1:5" ht="18" customHeight="1">
      <c r="A34" s="182"/>
      <c r="B34" s="47" t="s">
        <v>68</v>
      </c>
      <c r="C34" s="45" t="s">
        <v>71</v>
      </c>
      <c r="D34" s="45">
        <v>4</v>
      </c>
      <c r="E34" s="46" t="s">
        <v>72</v>
      </c>
    </row>
    <row r="35" spans="1:5" ht="18" customHeight="1">
      <c r="A35" s="182"/>
      <c r="B35" s="47" t="s">
        <v>68</v>
      </c>
      <c r="C35" s="45" t="s">
        <v>73</v>
      </c>
      <c r="D35" s="45">
        <v>4</v>
      </c>
      <c r="E35" s="46" t="s">
        <v>74</v>
      </c>
    </row>
    <row r="36" spans="1:5" ht="18" customHeight="1">
      <c r="A36" s="182"/>
      <c r="B36" s="47" t="s">
        <v>68</v>
      </c>
      <c r="C36" s="45" t="s">
        <v>75</v>
      </c>
      <c r="D36" s="45">
        <v>4</v>
      </c>
      <c r="E36" s="46" t="s">
        <v>76</v>
      </c>
    </row>
    <row r="37" spans="1:5" ht="18" customHeight="1">
      <c r="A37" s="182"/>
      <c r="B37" s="47" t="s">
        <v>18</v>
      </c>
      <c r="C37" s="45" t="s">
        <v>77</v>
      </c>
      <c r="D37" s="45">
        <v>1</v>
      </c>
      <c r="E37" s="48" t="s">
        <v>78</v>
      </c>
    </row>
    <row r="38" spans="1:5" ht="18" customHeight="1">
      <c r="A38" s="182"/>
      <c r="B38" s="47" t="s">
        <v>15</v>
      </c>
      <c r="C38" s="45" t="s">
        <v>79</v>
      </c>
      <c r="D38" s="45">
        <v>4</v>
      </c>
      <c r="E38" s="46" t="s">
        <v>79</v>
      </c>
    </row>
    <row r="39" spans="1:5" ht="18" customHeight="1" thickBot="1">
      <c r="A39" s="183"/>
      <c r="B39" s="184" t="s">
        <v>80</v>
      </c>
      <c r="C39" s="185"/>
      <c r="D39" s="185"/>
      <c r="E39" s="186"/>
    </row>
    <row r="40" spans="1:5" ht="18" customHeight="1" thickTop="1">
      <c r="A40" s="166" t="str">
        <f>"Cartesian sub-package("&amp;SUM(D40:D53)&amp;" bytes)"</f>
        <v>Cartesian sub-package(101 bytes)</v>
      </c>
      <c r="B40" s="49" t="s">
        <v>15</v>
      </c>
      <c r="C40" s="50" t="s">
        <v>81</v>
      </c>
      <c r="D40" s="50">
        <v>4</v>
      </c>
      <c r="E40" s="51" t="s">
        <v>22</v>
      </c>
    </row>
    <row r="41" spans="1:5" ht="18" customHeight="1">
      <c r="A41" s="167"/>
      <c r="B41" s="28" t="s">
        <v>18</v>
      </c>
      <c r="C41" s="29" t="s">
        <v>82</v>
      </c>
      <c r="D41" s="29">
        <v>1</v>
      </c>
      <c r="E41" s="30" t="s">
        <v>83</v>
      </c>
    </row>
    <row r="42" spans="1:5" ht="18" customHeight="1">
      <c r="A42" s="167"/>
      <c r="B42" s="28" t="s">
        <v>44</v>
      </c>
      <c r="C42" s="29" t="s">
        <v>84</v>
      </c>
      <c r="D42" s="29">
        <v>8</v>
      </c>
      <c r="E42" s="30" t="s">
        <v>85</v>
      </c>
    </row>
    <row r="43" spans="1:5" ht="18" customHeight="1">
      <c r="A43" s="167"/>
      <c r="B43" s="28" t="s">
        <v>44</v>
      </c>
      <c r="C43" s="29" t="s">
        <v>86</v>
      </c>
      <c r="D43" s="29">
        <v>8</v>
      </c>
      <c r="E43" s="30" t="s">
        <v>87</v>
      </c>
    </row>
    <row r="44" spans="1:5" ht="18" customHeight="1">
      <c r="A44" s="167"/>
      <c r="B44" s="28" t="s">
        <v>44</v>
      </c>
      <c r="C44" s="29" t="s">
        <v>88</v>
      </c>
      <c r="D44" s="29">
        <v>8</v>
      </c>
      <c r="E44" s="30" t="s">
        <v>89</v>
      </c>
    </row>
    <row r="45" spans="1:5" ht="18" customHeight="1">
      <c r="A45" s="167"/>
      <c r="B45" s="28" t="s">
        <v>44</v>
      </c>
      <c r="C45" s="29" t="s">
        <v>90</v>
      </c>
      <c r="D45" s="29">
        <v>8</v>
      </c>
      <c r="E45" s="30" t="s">
        <v>91</v>
      </c>
    </row>
    <row r="46" spans="1:5" ht="18" customHeight="1">
      <c r="A46" s="167"/>
      <c r="B46" s="28" t="s">
        <v>44</v>
      </c>
      <c r="C46" s="29" t="s">
        <v>92</v>
      </c>
      <c r="D46" s="29">
        <v>8</v>
      </c>
      <c r="E46" s="30" t="s">
        <v>93</v>
      </c>
    </row>
    <row r="47" spans="1:5" ht="18" customHeight="1">
      <c r="A47" s="167"/>
      <c r="B47" s="28" t="s">
        <v>44</v>
      </c>
      <c r="C47" s="29" t="s">
        <v>94</v>
      </c>
      <c r="D47" s="29">
        <v>8</v>
      </c>
      <c r="E47" s="30" t="s">
        <v>95</v>
      </c>
    </row>
    <row r="48" spans="1:5" ht="18" customHeight="1">
      <c r="A48" s="167"/>
      <c r="B48" s="28" t="s">
        <v>44</v>
      </c>
      <c r="C48" s="29" t="s">
        <v>96</v>
      </c>
      <c r="D48" s="29">
        <v>8</v>
      </c>
      <c r="E48" s="30" t="s">
        <v>97</v>
      </c>
    </row>
    <row r="49" spans="1:5" ht="18" customHeight="1">
      <c r="A49" s="167"/>
      <c r="B49" s="28" t="s">
        <v>44</v>
      </c>
      <c r="C49" s="29" t="s">
        <v>98</v>
      </c>
      <c r="D49" s="29">
        <v>8</v>
      </c>
      <c r="E49" s="30" t="s">
        <v>99</v>
      </c>
    </row>
    <row r="50" spans="1:5" ht="18" customHeight="1">
      <c r="A50" s="167"/>
      <c r="B50" s="28" t="s">
        <v>44</v>
      </c>
      <c r="C50" s="29" t="s">
        <v>100</v>
      </c>
      <c r="D50" s="29">
        <v>8</v>
      </c>
      <c r="E50" s="30" t="s">
        <v>101</v>
      </c>
    </row>
    <row r="51" spans="1:5" ht="18" customHeight="1">
      <c r="A51" s="167"/>
      <c r="B51" s="28" t="s">
        <v>44</v>
      </c>
      <c r="C51" s="29" t="s">
        <v>102</v>
      </c>
      <c r="D51" s="29">
        <v>8</v>
      </c>
      <c r="E51" s="30" t="s">
        <v>103</v>
      </c>
    </row>
    <row r="52" spans="1:5" ht="18" customHeight="1">
      <c r="A52" s="167"/>
      <c r="B52" s="28" t="s">
        <v>44</v>
      </c>
      <c r="C52" s="29" t="s">
        <v>104</v>
      </c>
      <c r="D52" s="29">
        <v>8</v>
      </c>
      <c r="E52" s="30" t="s">
        <v>105</v>
      </c>
    </row>
    <row r="53" spans="1:5" ht="18" customHeight="1" thickBot="1">
      <c r="A53" s="168"/>
      <c r="B53" s="52" t="s">
        <v>44</v>
      </c>
      <c r="C53" s="53" t="s">
        <v>106</v>
      </c>
      <c r="D53" s="29">
        <v>8</v>
      </c>
      <c r="E53" s="54" t="s">
        <v>107</v>
      </c>
    </row>
    <row r="54" spans="1:5" ht="18" customHeight="1" thickTop="1">
      <c r="A54" s="153" t="str">
        <f>"Robot configure sub-package("&amp;SUM(D54:D55)+SUM(D57:D58)*6+SUM(D61:D62)*6+SUM(D64:D68)+D70*6+D73*6+D76*6+D79*6+SUM(D81:D84)&amp;" bytes)"</f>
        <v>Robot configure sub-package(445 bytes)</v>
      </c>
      <c r="B54" s="41" t="s">
        <v>15</v>
      </c>
      <c r="C54" s="42" t="s">
        <v>108</v>
      </c>
      <c r="D54" s="42">
        <v>4</v>
      </c>
      <c r="E54" s="43" t="s">
        <v>22</v>
      </c>
    </row>
    <row r="55" spans="1:5" ht="18" customHeight="1">
      <c r="A55" s="161"/>
      <c r="B55" s="44" t="s">
        <v>18</v>
      </c>
      <c r="C55" s="45" t="s">
        <v>109</v>
      </c>
      <c r="D55" s="45">
        <v>1</v>
      </c>
      <c r="E55" s="46" t="s">
        <v>110</v>
      </c>
    </row>
    <row r="56" spans="1:5" ht="18" customHeight="1">
      <c r="A56" s="161"/>
      <c r="B56" s="169" t="s">
        <v>60</v>
      </c>
      <c r="C56" s="170"/>
      <c r="D56" s="170"/>
      <c r="E56" s="171"/>
    </row>
    <row r="57" spans="1:5" ht="18" customHeight="1">
      <c r="A57" s="161"/>
      <c r="B57" s="44" t="s">
        <v>44</v>
      </c>
      <c r="C57" s="45" t="s">
        <v>111</v>
      </c>
      <c r="D57" s="45">
        <v>8</v>
      </c>
      <c r="E57" s="46" t="s">
        <v>112</v>
      </c>
    </row>
    <row r="58" spans="1:5" ht="18" customHeight="1">
      <c r="A58" s="161"/>
      <c r="B58" s="44" t="s">
        <v>44</v>
      </c>
      <c r="C58" s="45" t="s">
        <v>113</v>
      </c>
      <c r="D58" s="45">
        <v>8</v>
      </c>
      <c r="E58" s="46" t="s">
        <v>114</v>
      </c>
    </row>
    <row r="59" spans="1:5" ht="18" customHeight="1">
      <c r="A59" s="161"/>
      <c r="B59" s="169" t="s">
        <v>80</v>
      </c>
      <c r="C59" s="170"/>
      <c r="D59" s="170"/>
      <c r="E59" s="171"/>
    </row>
    <row r="60" spans="1:5" ht="18" customHeight="1">
      <c r="A60" s="161"/>
      <c r="B60" s="169" t="s">
        <v>60</v>
      </c>
      <c r="C60" s="170"/>
      <c r="D60" s="170"/>
      <c r="E60" s="171"/>
    </row>
    <row r="61" spans="1:5" ht="18" customHeight="1">
      <c r="A61" s="161"/>
      <c r="B61" s="44" t="s">
        <v>44</v>
      </c>
      <c r="C61" s="45" t="s">
        <v>115</v>
      </c>
      <c r="D61" s="45">
        <v>8</v>
      </c>
      <c r="E61" s="46" t="s">
        <v>116</v>
      </c>
    </row>
    <row r="62" spans="1:5" ht="18" customHeight="1">
      <c r="A62" s="161"/>
      <c r="B62" s="44" t="s">
        <v>44</v>
      </c>
      <c r="C62" s="45" t="s">
        <v>117</v>
      </c>
      <c r="D62" s="45">
        <v>8</v>
      </c>
      <c r="E62" s="46" t="s">
        <v>118</v>
      </c>
    </row>
    <row r="63" spans="1:5" ht="18" customHeight="1">
      <c r="A63" s="161"/>
      <c r="B63" s="169" t="s">
        <v>80</v>
      </c>
      <c r="C63" s="170"/>
      <c r="D63" s="170"/>
      <c r="E63" s="171"/>
    </row>
    <row r="64" spans="1:5" ht="18" customHeight="1">
      <c r="A64" s="161"/>
      <c r="B64" s="44" t="s">
        <v>44</v>
      </c>
      <c r="C64" s="45" t="s">
        <v>119</v>
      </c>
      <c r="D64" s="45">
        <v>8</v>
      </c>
      <c r="E64" s="46" t="s">
        <v>120</v>
      </c>
    </row>
    <row r="65" spans="1:5" ht="18" customHeight="1">
      <c r="A65" s="161"/>
      <c r="B65" s="44" t="s">
        <v>44</v>
      </c>
      <c r="C65" s="45" t="s">
        <v>121</v>
      </c>
      <c r="D65" s="45">
        <v>8</v>
      </c>
      <c r="E65" s="46" t="s">
        <v>122</v>
      </c>
    </row>
    <row r="66" spans="1:5" ht="18" customHeight="1">
      <c r="A66" s="161"/>
      <c r="B66" s="44" t="s">
        <v>44</v>
      </c>
      <c r="C66" s="45" t="s">
        <v>123</v>
      </c>
      <c r="D66" s="45">
        <v>8</v>
      </c>
      <c r="E66" s="46" t="s">
        <v>124</v>
      </c>
    </row>
    <row r="67" spans="1:5" ht="18" customHeight="1">
      <c r="A67" s="161"/>
      <c r="B67" s="44" t="s">
        <v>44</v>
      </c>
      <c r="C67" s="45" t="s">
        <v>125</v>
      </c>
      <c r="D67" s="45">
        <v>8</v>
      </c>
      <c r="E67" s="46" t="s">
        <v>126</v>
      </c>
    </row>
    <row r="68" spans="1:5" ht="18" customHeight="1">
      <c r="A68" s="161"/>
      <c r="B68" s="44" t="s">
        <v>44</v>
      </c>
      <c r="C68" s="45" t="s">
        <v>127</v>
      </c>
      <c r="D68" s="45">
        <v>8</v>
      </c>
      <c r="E68" s="46" t="s">
        <v>128</v>
      </c>
    </row>
    <row r="69" spans="1:5" ht="18" customHeight="1">
      <c r="A69" s="161"/>
      <c r="B69" s="169" t="s">
        <v>60</v>
      </c>
      <c r="C69" s="170"/>
      <c r="D69" s="170"/>
      <c r="E69" s="171"/>
    </row>
    <row r="70" spans="1:5" ht="18" customHeight="1">
      <c r="A70" s="161"/>
      <c r="B70" s="44" t="s">
        <v>44</v>
      </c>
      <c r="C70" s="45" t="s">
        <v>129</v>
      </c>
      <c r="D70" s="45">
        <v>8</v>
      </c>
      <c r="E70" s="46" t="s">
        <v>130</v>
      </c>
    </row>
    <row r="71" spans="1:5" ht="18" customHeight="1">
      <c r="A71" s="161"/>
      <c r="B71" s="169" t="s">
        <v>80</v>
      </c>
      <c r="C71" s="170"/>
      <c r="D71" s="170"/>
      <c r="E71" s="171"/>
    </row>
    <row r="72" spans="1:5" ht="18" customHeight="1">
      <c r="A72" s="161"/>
      <c r="B72" s="169" t="s">
        <v>60</v>
      </c>
      <c r="C72" s="170"/>
      <c r="D72" s="170"/>
      <c r="E72" s="171"/>
    </row>
    <row r="73" spans="1:5" ht="18" customHeight="1">
      <c r="A73" s="161"/>
      <c r="B73" s="44" t="s">
        <v>44</v>
      </c>
      <c r="C73" s="45" t="s">
        <v>131</v>
      </c>
      <c r="D73" s="45">
        <v>8</v>
      </c>
      <c r="E73" s="46" t="s">
        <v>132</v>
      </c>
    </row>
    <row r="74" spans="1:5" ht="18" customHeight="1">
      <c r="A74" s="161"/>
      <c r="B74" s="169" t="s">
        <v>80</v>
      </c>
      <c r="C74" s="170"/>
      <c r="D74" s="170"/>
      <c r="E74" s="171"/>
    </row>
    <row r="75" spans="1:5" ht="18" customHeight="1">
      <c r="A75" s="161"/>
      <c r="B75" s="169" t="s">
        <v>60</v>
      </c>
      <c r="C75" s="170"/>
      <c r="D75" s="170"/>
      <c r="E75" s="171"/>
    </row>
    <row r="76" spans="1:5" ht="18" customHeight="1">
      <c r="A76" s="161"/>
      <c r="B76" s="44" t="s">
        <v>44</v>
      </c>
      <c r="C76" s="45" t="s">
        <v>133</v>
      </c>
      <c r="D76" s="45">
        <v>8</v>
      </c>
      <c r="E76" s="46" t="s">
        <v>134</v>
      </c>
    </row>
    <row r="77" spans="1:5" ht="18" customHeight="1">
      <c r="A77" s="161"/>
      <c r="B77" s="169" t="s">
        <v>80</v>
      </c>
      <c r="C77" s="170"/>
      <c r="D77" s="170"/>
      <c r="E77" s="171"/>
    </row>
    <row r="78" spans="1:5" ht="18" customHeight="1">
      <c r="A78" s="161"/>
      <c r="B78" s="170" t="s">
        <v>60</v>
      </c>
      <c r="C78" s="172"/>
      <c r="D78" s="172"/>
      <c r="E78" s="173"/>
    </row>
    <row r="79" spans="1:5" ht="18" customHeight="1">
      <c r="A79" s="161"/>
      <c r="B79" s="44" t="s">
        <v>44</v>
      </c>
      <c r="C79" s="45" t="s">
        <v>29</v>
      </c>
      <c r="D79" s="45">
        <v>8</v>
      </c>
      <c r="E79" s="46" t="s">
        <v>29</v>
      </c>
    </row>
    <row r="80" spans="1:5" ht="18" customHeight="1">
      <c r="A80" s="161"/>
      <c r="B80" s="169" t="s">
        <v>80</v>
      </c>
      <c r="C80" s="170"/>
      <c r="D80" s="170"/>
      <c r="E80" s="171"/>
    </row>
    <row r="81" spans="1:5" ht="18" customHeight="1">
      <c r="A81" s="161"/>
      <c r="B81" s="44" t="s">
        <v>15</v>
      </c>
      <c r="C81" s="45" t="s">
        <v>135</v>
      </c>
      <c r="D81" s="45">
        <v>4</v>
      </c>
      <c r="E81" s="46" t="s">
        <v>136</v>
      </c>
    </row>
    <row r="82" spans="1:5" ht="18" customHeight="1">
      <c r="A82" s="161"/>
      <c r="B82" s="44" t="s">
        <v>15</v>
      </c>
      <c r="C82" s="45" t="s">
        <v>137</v>
      </c>
      <c r="D82" s="45">
        <v>4</v>
      </c>
      <c r="E82" s="46" t="s">
        <v>138</v>
      </c>
    </row>
    <row r="83" spans="1:5" ht="18" customHeight="1">
      <c r="A83" s="161"/>
      <c r="B83" s="44" t="s">
        <v>15</v>
      </c>
      <c r="C83" s="45" t="s">
        <v>139</v>
      </c>
      <c r="D83" s="45">
        <v>4</v>
      </c>
      <c r="E83" s="48" t="s">
        <v>140</v>
      </c>
    </row>
    <row r="84" spans="1:5" ht="18" customHeight="1" thickBot="1">
      <c r="A84" s="154"/>
      <c r="B84" s="22" t="s">
        <v>15</v>
      </c>
      <c r="C84" s="23" t="s">
        <v>141</v>
      </c>
      <c r="D84" s="23">
        <v>4</v>
      </c>
      <c r="E84" s="55" t="s">
        <v>142</v>
      </c>
    </row>
    <row r="85" spans="1:5" ht="18" customHeight="1" thickTop="1">
      <c r="A85" s="166" t="str">
        <f>"Robot motherboard sub-package("&amp;SUM(D85:D109)&amp;" bytes)"</f>
        <v>Robot motherboard sub-package(88 bytes)</v>
      </c>
      <c r="B85" s="49" t="s">
        <v>15</v>
      </c>
      <c r="C85" s="50" t="s">
        <v>143</v>
      </c>
      <c r="D85" s="50">
        <v>4</v>
      </c>
      <c r="E85" s="51" t="s">
        <v>22</v>
      </c>
    </row>
    <row r="86" spans="1:5" ht="18" customHeight="1">
      <c r="A86" s="167"/>
      <c r="B86" s="28" t="s">
        <v>18</v>
      </c>
      <c r="C86" s="29" t="s">
        <v>144</v>
      </c>
      <c r="D86" s="29">
        <v>1</v>
      </c>
      <c r="E86" s="30" t="s">
        <v>145</v>
      </c>
    </row>
    <row r="87" spans="1:5" ht="18" customHeight="1">
      <c r="A87" s="167"/>
      <c r="B87" s="28" t="s">
        <v>15</v>
      </c>
      <c r="C87" s="29" t="s">
        <v>146</v>
      </c>
      <c r="D87" s="29">
        <v>4</v>
      </c>
      <c r="E87" s="30" t="s">
        <v>147</v>
      </c>
    </row>
    <row r="88" spans="1:5" ht="18" customHeight="1">
      <c r="A88" s="167"/>
      <c r="B88" s="28" t="s">
        <v>15</v>
      </c>
      <c r="C88" s="29" t="s">
        <v>148</v>
      </c>
      <c r="D88" s="29">
        <v>4</v>
      </c>
      <c r="E88" s="30" t="s">
        <v>149</v>
      </c>
    </row>
    <row r="89" spans="1:5" ht="18" customHeight="1">
      <c r="A89" s="167"/>
      <c r="B89" s="28" t="s">
        <v>18</v>
      </c>
      <c r="C89" s="29" t="s">
        <v>150</v>
      </c>
      <c r="D89" s="29">
        <v>1</v>
      </c>
      <c r="E89" s="56" t="s">
        <v>151</v>
      </c>
    </row>
    <row r="90" spans="1:5" ht="18" customHeight="1">
      <c r="A90" s="167"/>
      <c r="B90" s="28" t="s">
        <v>18</v>
      </c>
      <c r="C90" s="29" t="s">
        <v>152</v>
      </c>
      <c r="D90" s="29">
        <v>1</v>
      </c>
      <c r="E90" s="56" t="s">
        <v>153</v>
      </c>
    </row>
    <row r="91" spans="1:5" ht="18" customHeight="1">
      <c r="A91" s="167"/>
      <c r="B91" s="28" t="s">
        <v>18</v>
      </c>
      <c r="C91" s="29" t="s">
        <v>154</v>
      </c>
      <c r="D91" s="29">
        <v>1</v>
      </c>
      <c r="E91" s="56" t="s">
        <v>155</v>
      </c>
    </row>
    <row r="92" spans="1:5" ht="18" customHeight="1">
      <c r="A92" s="167"/>
      <c r="B92" s="28" t="s">
        <v>44</v>
      </c>
      <c r="C92" s="29" t="s">
        <v>156</v>
      </c>
      <c r="D92" s="29">
        <v>8</v>
      </c>
      <c r="E92" s="30" t="s">
        <v>157</v>
      </c>
    </row>
    <row r="93" spans="1:5" ht="18" customHeight="1">
      <c r="A93" s="167"/>
      <c r="B93" s="28" t="s">
        <v>44</v>
      </c>
      <c r="C93" s="29" t="s">
        <v>158</v>
      </c>
      <c r="D93" s="29">
        <v>8</v>
      </c>
      <c r="E93" s="30" t="s">
        <v>159</v>
      </c>
    </row>
    <row r="94" spans="1:5" ht="18" customHeight="1">
      <c r="A94" s="167"/>
      <c r="B94" s="28" t="s">
        <v>44</v>
      </c>
      <c r="C94" s="29" t="s">
        <v>160</v>
      </c>
      <c r="D94" s="29">
        <v>8</v>
      </c>
      <c r="E94" s="30" t="s">
        <v>161</v>
      </c>
    </row>
    <row r="95" spans="1:5" ht="18" customHeight="1">
      <c r="A95" s="167"/>
      <c r="B95" s="28" t="s">
        <v>18</v>
      </c>
      <c r="C95" s="29" t="s">
        <v>162</v>
      </c>
      <c r="D95" s="29">
        <v>1</v>
      </c>
      <c r="E95" s="56" t="s">
        <v>163</v>
      </c>
    </row>
    <row r="96" spans="1:5" ht="18" customHeight="1">
      <c r="A96" s="167"/>
      <c r="B96" s="28" t="s">
        <v>18</v>
      </c>
      <c r="C96" s="29" t="s">
        <v>164</v>
      </c>
      <c r="D96" s="29">
        <v>1</v>
      </c>
      <c r="E96" s="56" t="s">
        <v>165</v>
      </c>
    </row>
    <row r="97" spans="1:5" ht="18" customHeight="1">
      <c r="A97" s="167"/>
      <c r="B97" s="28" t="s">
        <v>18</v>
      </c>
      <c r="C97" s="29" t="s">
        <v>166</v>
      </c>
      <c r="D97" s="29">
        <v>1</v>
      </c>
      <c r="E97" s="56" t="s">
        <v>167</v>
      </c>
    </row>
    <row r="98" spans="1:5" ht="18" customHeight="1">
      <c r="A98" s="167"/>
      <c r="B98" s="28" t="s">
        <v>44</v>
      </c>
      <c r="C98" s="29" t="s">
        <v>168</v>
      </c>
      <c r="D98" s="29">
        <v>8</v>
      </c>
      <c r="E98" s="30" t="s">
        <v>169</v>
      </c>
    </row>
    <row r="99" spans="1:5" ht="18" customHeight="1">
      <c r="A99" s="167"/>
      <c r="B99" s="28" t="s">
        <v>44</v>
      </c>
      <c r="C99" s="29" t="s">
        <v>170</v>
      </c>
      <c r="D99" s="29">
        <v>8</v>
      </c>
      <c r="E99" s="30" t="s">
        <v>171</v>
      </c>
    </row>
    <row r="100" spans="1:5" ht="18" customHeight="1">
      <c r="A100" s="167"/>
      <c r="B100" s="28" t="s">
        <v>44</v>
      </c>
      <c r="C100" s="29" t="s">
        <v>172</v>
      </c>
      <c r="D100" s="29">
        <v>8</v>
      </c>
      <c r="E100" s="30" t="s">
        <v>173</v>
      </c>
    </row>
    <row r="101" spans="1:5" ht="18" customHeight="1">
      <c r="A101" s="167"/>
      <c r="B101" s="28" t="s">
        <v>68</v>
      </c>
      <c r="C101" s="29" t="s">
        <v>174</v>
      </c>
      <c r="D101" s="29">
        <v>4</v>
      </c>
      <c r="E101" s="30" t="s">
        <v>175</v>
      </c>
    </row>
    <row r="102" spans="1:5" ht="18" customHeight="1">
      <c r="A102" s="167"/>
      <c r="B102" s="28" t="s">
        <v>68</v>
      </c>
      <c r="C102" s="29" t="s">
        <v>176</v>
      </c>
      <c r="D102" s="29">
        <v>4</v>
      </c>
      <c r="E102" s="30" t="s">
        <v>177</v>
      </c>
    </row>
    <row r="103" spans="1:5" ht="18" customHeight="1">
      <c r="A103" s="167"/>
      <c r="B103" s="28" t="s">
        <v>68</v>
      </c>
      <c r="C103" s="29" t="s">
        <v>178</v>
      </c>
      <c r="D103" s="29">
        <v>4</v>
      </c>
      <c r="E103" s="30" t="s">
        <v>179</v>
      </c>
    </row>
    <row r="104" spans="1:5" ht="18" customHeight="1">
      <c r="A104" s="167"/>
      <c r="B104" s="28" t="s">
        <v>68</v>
      </c>
      <c r="C104" s="29" t="s">
        <v>180</v>
      </c>
      <c r="D104" s="29">
        <v>4</v>
      </c>
      <c r="E104" s="84" t="s">
        <v>181</v>
      </c>
    </row>
    <row r="105" spans="1:5" ht="18" customHeight="1">
      <c r="A105" s="167"/>
      <c r="B105" s="28" t="s">
        <v>18</v>
      </c>
      <c r="C105" s="29" t="s">
        <v>182</v>
      </c>
      <c r="D105" s="29">
        <v>1</v>
      </c>
      <c r="E105" s="31" t="s">
        <v>183</v>
      </c>
    </row>
    <row r="106" spans="1:5" ht="18" customHeight="1">
      <c r="A106" s="167"/>
      <c r="B106" s="28" t="s">
        <v>28</v>
      </c>
      <c r="C106" s="29" t="s">
        <v>184</v>
      </c>
      <c r="D106" s="29">
        <v>1</v>
      </c>
      <c r="E106" s="30" t="s">
        <v>185</v>
      </c>
    </row>
    <row r="107" spans="1:5" ht="18" customHeight="1">
      <c r="A107" s="167"/>
      <c r="B107" s="28" t="s">
        <v>28</v>
      </c>
      <c r="C107" s="29" t="s">
        <v>186</v>
      </c>
      <c r="D107" s="29">
        <v>1</v>
      </c>
      <c r="E107" s="30" t="s">
        <v>187</v>
      </c>
    </row>
    <row r="108" spans="1:5" ht="18" customHeight="1">
      <c r="A108" s="167"/>
      <c r="B108" s="28" t="s">
        <v>28</v>
      </c>
      <c r="C108" s="29" t="s">
        <v>188</v>
      </c>
      <c r="D108" s="29">
        <v>1</v>
      </c>
      <c r="E108" s="30" t="s">
        <v>189</v>
      </c>
    </row>
    <row r="109" spans="1:5" ht="18" customHeight="1" thickBot="1">
      <c r="A109" s="168"/>
      <c r="B109" s="52" t="s">
        <v>18</v>
      </c>
      <c r="C109" s="53" t="s">
        <v>190</v>
      </c>
      <c r="D109" s="53">
        <v>1</v>
      </c>
      <c r="E109" s="57" t="s">
        <v>191</v>
      </c>
    </row>
    <row r="110" spans="1:5" ht="18" customHeight="1" thickTop="1">
      <c r="A110" s="153" t="str">
        <f>"Robot additional information sub-package("&amp;SUM(D110:D116)&amp;" bytes)"</f>
        <v>Robot additional information sub-package(10 bytes)</v>
      </c>
      <c r="B110" s="41" t="s">
        <v>15</v>
      </c>
      <c r="C110" s="42" t="s">
        <v>192</v>
      </c>
      <c r="D110" s="42">
        <v>4</v>
      </c>
      <c r="E110" s="43" t="s">
        <v>22</v>
      </c>
    </row>
    <row r="111" spans="1:5" ht="18" customHeight="1">
      <c r="A111" s="161"/>
      <c r="B111" s="44" t="s">
        <v>18</v>
      </c>
      <c r="C111" s="45" t="s">
        <v>193</v>
      </c>
      <c r="D111" s="45">
        <v>1</v>
      </c>
      <c r="E111" s="46" t="s">
        <v>194</v>
      </c>
    </row>
    <row r="112" spans="1:5" ht="18" customHeight="1">
      <c r="A112" s="161"/>
      <c r="B112" s="44" t="s">
        <v>28</v>
      </c>
      <c r="C112" s="45" t="s">
        <v>195</v>
      </c>
      <c r="D112" s="45">
        <v>1</v>
      </c>
      <c r="E112" s="46" t="s">
        <v>196</v>
      </c>
    </row>
    <row r="113" spans="1:5" ht="18" customHeight="1">
      <c r="A113" s="161"/>
      <c r="B113" s="44" t="s">
        <v>28</v>
      </c>
      <c r="C113" s="45" t="s">
        <v>29</v>
      </c>
      <c r="D113" s="45">
        <v>1</v>
      </c>
      <c r="E113" s="46" t="s">
        <v>29</v>
      </c>
    </row>
    <row r="114" spans="1:5" ht="18" customHeight="1">
      <c r="A114" s="161"/>
      <c r="B114" s="44" t="s">
        <v>28</v>
      </c>
      <c r="C114" s="45" t="s">
        <v>197</v>
      </c>
      <c r="D114" s="45">
        <v>1</v>
      </c>
      <c r="E114" s="46" t="s">
        <v>198</v>
      </c>
    </row>
    <row r="115" spans="1:5" ht="18" customHeight="1">
      <c r="A115" s="165"/>
      <c r="B115" s="58" t="s">
        <v>28</v>
      </c>
      <c r="C115" s="59" t="s">
        <v>199</v>
      </c>
      <c r="D115" s="59">
        <v>1</v>
      </c>
      <c r="E115" s="60" t="s">
        <v>200</v>
      </c>
    </row>
    <row r="116" spans="1:5" ht="18" customHeight="1" thickBot="1">
      <c r="A116" s="154"/>
      <c r="B116" s="22" t="s">
        <v>18</v>
      </c>
      <c r="C116" s="23" t="s">
        <v>29</v>
      </c>
      <c r="D116" s="23">
        <v>1</v>
      </c>
      <c r="E116" s="24" t="s">
        <v>29</v>
      </c>
    </row>
    <row r="117" spans="1:5" ht="18" customHeight="1" thickTop="1">
      <c r="A117" s="158" t="str">
        <f>"Robot tool data sub-package("&amp;SUM(D117:D127)&amp;" bytes)"</f>
        <v>Robot tool data sub-package(37 bytes)</v>
      </c>
      <c r="B117" s="85" t="s">
        <v>15</v>
      </c>
      <c r="C117" s="86" t="s">
        <v>201</v>
      </c>
      <c r="D117" s="86">
        <v>4</v>
      </c>
      <c r="E117" s="87" t="s">
        <v>22</v>
      </c>
    </row>
    <row r="118" spans="1:5" ht="18" customHeight="1">
      <c r="A118" s="159"/>
      <c r="B118" s="88" t="s">
        <v>18</v>
      </c>
      <c r="C118" s="89" t="s">
        <v>202</v>
      </c>
      <c r="D118" s="89">
        <v>1</v>
      </c>
      <c r="E118" s="90" t="s">
        <v>203</v>
      </c>
    </row>
    <row r="119" spans="1:5" ht="18" customHeight="1">
      <c r="A119" s="159"/>
      <c r="B119" s="88" t="s">
        <v>18</v>
      </c>
      <c r="C119" s="89" t="s">
        <v>166</v>
      </c>
      <c r="D119" s="89">
        <v>1</v>
      </c>
      <c r="E119" s="34" t="s">
        <v>204</v>
      </c>
    </row>
    <row r="120" spans="1:5" ht="18" customHeight="1">
      <c r="A120" s="159"/>
      <c r="B120" s="88" t="s">
        <v>18</v>
      </c>
      <c r="C120" s="89" t="s">
        <v>154</v>
      </c>
      <c r="D120" s="89">
        <v>1</v>
      </c>
      <c r="E120" s="34" t="s">
        <v>205</v>
      </c>
    </row>
    <row r="121" spans="1:5" ht="18" customHeight="1">
      <c r="A121" s="159"/>
      <c r="B121" s="88" t="s">
        <v>44</v>
      </c>
      <c r="C121" s="89" t="s">
        <v>172</v>
      </c>
      <c r="D121" s="89">
        <v>8</v>
      </c>
      <c r="E121" s="90" t="s">
        <v>206</v>
      </c>
    </row>
    <row r="122" spans="1:5" ht="18" customHeight="1">
      <c r="A122" s="159"/>
      <c r="B122" s="88" t="s">
        <v>44</v>
      </c>
      <c r="C122" s="89" t="s">
        <v>160</v>
      </c>
      <c r="D122" s="89">
        <v>8</v>
      </c>
      <c r="E122" s="90" t="s">
        <v>207</v>
      </c>
    </row>
    <row r="123" spans="1:5" ht="18" customHeight="1">
      <c r="A123" s="159"/>
      <c r="B123" s="88" t="s">
        <v>68</v>
      </c>
      <c r="C123" s="89" t="s">
        <v>208</v>
      </c>
      <c r="D123" s="89">
        <v>4</v>
      </c>
      <c r="E123" s="90" t="s">
        <v>209</v>
      </c>
    </row>
    <row r="124" spans="1:5" ht="18" customHeight="1">
      <c r="A124" s="159"/>
      <c r="B124" s="88" t="s">
        <v>18</v>
      </c>
      <c r="C124" s="89" t="s">
        <v>210</v>
      </c>
      <c r="D124" s="89">
        <v>1</v>
      </c>
      <c r="E124" s="34" t="s">
        <v>211</v>
      </c>
    </row>
    <row r="125" spans="1:5" ht="18" customHeight="1">
      <c r="A125" s="159"/>
      <c r="B125" s="88" t="s">
        <v>68</v>
      </c>
      <c r="C125" s="89" t="s">
        <v>212</v>
      </c>
      <c r="D125" s="89">
        <v>4</v>
      </c>
      <c r="E125" s="90" t="s">
        <v>213</v>
      </c>
    </row>
    <row r="126" spans="1:5" ht="18" customHeight="1">
      <c r="A126" s="159"/>
      <c r="B126" s="88" t="s">
        <v>68</v>
      </c>
      <c r="C126" s="89" t="s">
        <v>214</v>
      </c>
      <c r="D126" s="89">
        <v>4</v>
      </c>
      <c r="E126" s="90" t="s">
        <v>215</v>
      </c>
    </row>
    <row r="127" spans="1:5" ht="18" customHeight="1" thickBot="1">
      <c r="A127" s="160"/>
      <c r="B127" s="91" t="s">
        <v>18</v>
      </c>
      <c r="C127" s="92" t="s">
        <v>216</v>
      </c>
      <c r="D127" s="92">
        <v>1</v>
      </c>
      <c r="E127" s="93" t="s">
        <v>217</v>
      </c>
    </row>
    <row r="128" spans="1:5" ht="18" customHeight="1" thickTop="1">
      <c r="A128" s="153" t="str">
        <f>"Robot satety mode sub-package("&amp;SUM(D128:D136)&amp;" bytes)"</f>
        <v>Robot satety mode sub-package(43 bytes)</v>
      </c>
      <c r="B128" s="41" t="s">
        <v>15</v>
      </c>
      <c r="C128" s="42" t="s">
        <v>218</v>
      </c>
      <c r="D128" s="42">
        <v>4</v>
      </c>
      <c r="E128" s="43" t="s">
        <v>22</v>
      </c>
    </row>
    <row r="129" spans="1:5" ht="18" customHeight="1">
      <c r="A129" s="161"/>
      <c r="B129" s="44" t="s">
        <v>18</v>
      </c>
      <c r="C129" s="45" t="s">
        <v>219</v>
      </c>
      <c r="D129" s="45">
        <v>1</v>
      </c>
      <c r="E129" s="46" t="s">
        <v>220</v>
      </c>
    </row>
    <row r="130" spans="1:5" ht="18" customHeight="1">
      <c r="A130" s="161"/>
      <c r="B130" s="44" t="s">
        <v>15</v>
      </c>
      <c r="C130" s="45" t="s">
        <v>221</v>
      </c>
      <c r="D130" s="45">
        <v>4</v>
      </c>
      <c r="E130" s="46" t="s">
        <v>222</v>
      </c>
    </row>
    <row r="131" spans="1:5" ht="18" customHeight="1">
      <c r="A131" s="161"/>
      <c r="B131" s="44" t="s">
        <v>223</v>
      </c>
      <c r="C131" s="45" t="s">
        <v>224</v>
      </c>
      <c r="D131" s="45">
        <v>1</v>
      </c>
      <c r="E131" s="94" t="s">
        <v>225</v>
      </c>
    </row>
    <row r="132" spans="1:5" ht="18" customHeight="1">
      <c r="A132" s="161"/>
      <c r="B132" s="44" t="s">
        <v>18</v>
      </c>
      <c r="C132" s="45" t="s">
        <v>29</v>
      </c>
      <c r="D132" s="45">
        <v>1</v>
      </c>
      <c r="E132" s="46" t="s">
        <v>29</v>
      </c>
    </row>
    <row r="133" spans="1:5" ht="18" customHeight="1">
      <c r="A133" s="161"/>
      <c r="B133" s="44" t="s">
        <v>44</v>
      </c>
      <c r="C133" s="45" t="s">
        <v>226</v>
      </c>
      <c r="D133" s="45">
        <v>8</v>
      </c>
      <c r="E133" s="46" t="s">
        <v>227</v>
      </c>
    </row>
    <row r="134" spans="1:5" ht="18" customHeight="1">
      <c r="A134" s="161"/>
      <c r="B134" s="44" t="s">
        <v>44</v>
      </c>
      <c r="C134" s="45" t="s">
        <v>228</v>
      </c>
      <c r="D134" s="45">
        <v>8</v>
      </c>
      <c r="E134" s="46" t="s">
        <v>229</v>
      </c>
    </row>
    <row r="135" spans="1:5" ht="18" customHeight="1">
      <c r="A135" s="161"/>
      <c r="B135" s="44" t="s">
        <v>44</v>
      </c>
      <c r="C135" s="45" t="s">
        <v>230</v>
      </c>
      <c r="D135" s="45">
        <v>8</v>
      </c>
      <c r="E135" s="46" t="s">
        <v>231</v>
      </c>
    </row>
    <row r="136" spans="1:5" ht="18" customHeight="1" thickBot="1">
      <c r="A136" s="154"/>
      <c r="B136" s="22" t="s">
        <v>44</v>
      </c>
      <c r="C136" s="23" t="s">
        <v>232</v>
      </c>
      <c r="D136" s="23">
        <v>8</v>
      </c>
      <c r="E136" s="24" t="s">
        <v>233</v>
      </c>
    </row>
    <row r="137" spans="1:5" ht="18" customHeight="1" thickTop="1">
      <c r="A137" s="158" t="str">
        <f>"Robot communication sub-package("&amp;SUM(D137:D146)&amp;" bytes)"</f>
        <v>Robot communication sub-package(28 bytes)</v>
      </c>
      <c r="B137" s="85" t="s">
        <v>15</v>
      </c>
      <c r="C137" s="86" t="s">
        <v>234</v>
      </c>
      <c r="D137" s="86">
        <v>4</v>
      </c>
      <c r="E137" s="87" t="s">
        <v>22</v>
      </c>
    </row>
    <row r="138" spans="1:5" ht="18" customHeight="1">
      <c r="A138" s="159"/>
      <c r="B138" s="88" t="s">
        <v>18</v>
      </c>
      <c r="C138" s="89" t="s">
        <v>235</v>
      </c>
      <c r="D138" s="89">
        <v>1</v>
      </c>
      <c r="E138" s="90" t="s">
        <v>236</v>
      </c>
    </row>
    <row r="139" spans="1:5" ht="18" customHeight="1">
      <c r="A139" s="159"/>
      <c r="B139" s="88" t="s">
        <v>28</v>
      </c>
      <c r="C139" s="89" t="s">
        <v>237</v>
      </c>
      <c r="D139" s="89">
        <v>1</v>
      </c>
      <c r="E139" s="90" t="s">
        <v>238</v>
      </c>
    </row>
    <row r="140" spans="1:5" ht="18" customHeight="1">
      <c r="A140" s="159"/>
      <c r="B140" s="88" t="s">
        <v>15</v>
      </c>
      <c r="C140" s="89" t="s">
        <v>239</v>
      </c>
      <c r="D140" s="89">
        <v>4</v>
      </c>
      <c r="E140" s="90" t="s">
        <v>240</v>
      </c>
    </row>
    <row r="141" spans="1:5" ht="18" customHeight="1">
      <c r="A141" s="159"/>
      <c r="B141" s="88" t="s">
        <v>15</v>
      </c>
      <c r="C141" s="89" t="s">
        <v>241</v>
      </c>
      <c r="D141" s="89">
        <v>4</v>
      </c>
      <c r="E141" s="95" t="s">
        <v>242</v>
      </c>
    </row>
    <row r="142" spans="1:5" ht="18" customHeight="1">
      <c r="A142" s="159"/>
      <c r="B142" s="88" t="s">
        <v>15</v>
      </c>
      <c r="C142" s="89" t="s">
        <v>243</v>
      </c>
      <c r="D142" s="89">
        <v>4</v>
      </c>
      <c r="E142" s="95" t="s">
        <v>244</v>
      </c>
    </row>
    <row r="143" spans="1:5" ht="18" customHeight="1">
      <c r="A143" s="159"/>
      <c r="B143" s="88" t="s">
        <v>28</v>
      </c>
      <c r="C143" s="89" t="s">
        <v>245</v>
      </c>
      <c r="D143" s="89">
        <v>1</v>
      </c>
      <c r="E143" s="95" t="s">
        <v>246</v>
      </c>
    </row>
    <row r="144" spans="1:5" ht="18" customHeight="1">
      <c r="A144" s="159"/>
      <c r="B144" s="102" t="s">
        <v>18</v>
      </c>
      <c r="C144" s="103" t="s">
        <v>357</v>
      </c>
      <c r="D144" s="103">
        <v>1</v>
      </c>
      <c r="E144" s="104" t="s">
        <v>358</v>
      </c>
    </row>
    <row r="145" spans="1:5" ht="18" customHeight="1">
      <c r="A145" s="159"/>
      <c r="B145" s="88" t="s">
        <v>68</v>
      </c>
      <c r="C145" s="89" t="s">
        <v>29</v>
      </c>
      <c r="D145" s="89">
        <v>4</v>
      </c>
      <c r="E145" s="90" t="s">
        <v>29</v>
      </c>
    </row>
    <row r="146" spans="1:5" ht="18" customHeight="1" thickBot="1">
      <c r="A146" s="160"/>
      <c r="B146" s="91" t="s">
        <v>68</v>
      </c>
      <c r="C146" s="92" t="s">
        <v>29</v>
      </c>
      <c r="D146" s="92">
        <v>4</v>
      </c>
      <c r="E146" s="96" t="s">
        <v>29</v>
      </c>
    </row>
    <row r="147" spans="1:5" ht="18" customHeight="1" thickTop="1">
      <c r="B147" s="97"/>
      <c r="C147" s="98"/>
      <c r="D147" s="98"/>
    </row>
    <row r="148" spans="1:5" ht="18" customHeight="1" thickBot="1">
      <c r="B148" s="97"/>
      <c r="C148" s="98"/>
      <c r="D148" s="98"/>
    </row>
    <row r="149" spans="1:5" ht="18" customHeight="1" thickTop="1">
      <c r="A149" s="162" t="s">
        <v>390</v>
      </c>
      <c r="B149" s="162"/>
      <c r="C149" s="162"/>
      <c r="D149" s="162"/>
      <c r="E149" s="163"/>
    </row>
    <row r="150" spans="1:5" ht="18" customHeight="1" thickBot="1">
      <c r="A150" s="105"/>
      <c r="B150" s="106" t="s">
        <v>381</v>
      </c>
      <c r="C150" s="106" t="s">
        <v>382</v>
      </c>
      <c r="D150" s="106" t="s">
        <v>383</v>
      </c>
      <c r="E150" s="107" t="s">
        <v>384</v>
      </c>
    </row>
    <row r="151" spans="1:5" ht="18" customHeight="1" thickTop="1">
      <c r="A151" s="153" t="s">
        <v>397</v>
      </c>
      <c r="B151" s="108" t="s">
        <v>360</v>
      </c>
      <c r="C151" s="109" t="s">
        <v>361</v>
      </c>
      <c r="D151" s="109">
        <v>4</v>
      </c>
      <c r="E151" s="43" t="s">
        <v>386</v>
      </c>
    </row>
    <row r="152" spans="1:5" ht="18" customHeight="1" thickBot="1">
      <c r="A152" s="154"/>
      <c r="B152" s="110" t="s">
        <v>362</v>
      </c>
      <c r="C152" s="111" t="s">
        <v>363</v>
      </c>
      <c r="D152" s="111">
        <v>1</v>
      </c>
      <c r="E152" s="24" t="s">
        <v>389</v>
      </c>
    </row>
    <row r="153" spans="1:5" ht="18" customHeight="1" thickTop="1">
      <c r="A153" s="164" t="s">
        <v>399</v>
      </c>
      <c r="B153" s="112" t="s">
        <v>364</v>
      </c>
      <c r="C153" s="113" t="s">
        <v>26</v>
      </c>
      <c r="D153" s="113">
        <v>8</v>
      </c>
      <c r="E153" s="114" t="s">
        <v>392</v>
      </c>
    </row>
    <row r="154" spans="1:5" ht="18" customHeight="1">
      <c r="A154" s="156"/>
      <c r="B154" s="115" t="s">
        <v>362</v>
      </c>
      <c r="C154" s="116" t="s">
        <v>359</v>
      </c>
      <c r="D154" s="116">
        <v>1</v>
      </c>
      <c r="E154" s="117" t="s">
        <v>359</v>
      </c>
    </row>
    <row r="155" spans="1:5" ht="18" customHeight="1">
      <c r="A155" s="156"/>
      <c r="B155" s="115" t="s">
        <v>362</v>
      </c>
      <c r="C155" s="116" t="s">
        <v>366</v>
      </c>
      <c r="D155" s="116">
        <v>1</v>
      </c>
      <c r="E155" s="117" t="s">
        <v>403</v>
      </c>
    </row>
    <row r="156" spans="1:5" ht="18" customHeight="1">
      <c r="A156" s="156"/>
      <c r="B156" s="115" t="s">
        <v>367</v>
      </c>
      <c r="C156" s="116" t="s">
        <v>368</v>
      </c>
      <c r="D156" s="116">
        <v>4</v>
      </c>
      <c r="E156" s="117" t="s">
        <v>393</v>
      </c>
    </row>
    <row r="157" spans="1:5" ht="18" customHeight="1">
      <c r="A157" s="156"/>
      <c r="B157" s="115" t="s">
        <v>367</v>
      </c>
      <c r="C157" s="116" t="s">
        <v>369</v>
      </c>
      <c r="D157" s="116">
        <v>4</v>
      </c>
      <c r="E157" s="117" t="s">
        <v>394</v>
      </c>
    </row>
    <row r="158" spans="1:5" ht="18" customHeight="1" thickBot="1">
      <c r="A158" s="157"/>
      <c r="B158" s="118" t="s">
        <v>370</v>
      </c>
      <c r="C158" s="119" t="s">
        <v>371</v>
      </c>
      <c r="D158" s="119" t="s">
        <v>372</v>
      </c>
      <c r="E158" s="120" t="s">
        <v>395</v>
      </c>
    </row>
    <row r="159" spans="1:5" ht="18" customHeight="1" thickTop="1">
      <c r="A159" s="121"/>
      <c r="B159" s="122"/>
      <c r="C159" s="123"/>
      <c r="D159" s="123"/>
      <c r="E159" s="124"/>
    </row>
    <row r="160" spans="1:5" ht="18" customHeight="1" thickBot="1">
      <c r="A160" s="121"/>
      <c r="B160" s="122"/>
      <c r="C160" s="123"/>
      <c r="D160" s="123"/>
      <c r="E160" s="124"/>
    </row>
    <row r="161" spans="1:5" ht="18" customHeight="1" thickTop="1">
      <c r="A161" s="150" t="s">
        <v>396</v>
      </c>
      <c r="B161" s="151"/>
      <c r="C161" s="151"/>
      <c r="D161" s="151"/>
      <c r="E161" s="152"/>
    </row>
    <row r="162" spans="1:5" s="133" customFormat="1" ht="18" customHeight="1" thickBot="1">
      <c r="A162" s="131"/>
      <c r="B162" s="130" t="s">
        <v>381</v>
      </c>
      <c r="C162" s="130" t="s">
        <v>382</v>
      </c>
      <c r="D162" s="130" t="s">
        <v>383</v>
      </c>
      <c r="E162" s="132" t="s">
        <v>384</v>
      </c>
    </row>
    <row r="163" spans="1:5" ht="18" customHeight="1" thickTop="1">
      <c r="A163" s="153" t="s">
        <v>397</v>
      </c>
      <c r="B163" s="108" t="s">
        <v>360</v>
      </c>
      <c r="C163" s="109" t="s">
        <v>361</v>
      </c>
      <c r="D163" s="109">
        <v>4</v>
      </c>
      <c r="E163" s="43" t="s">
        <v>386</v>
      </c>
    </row>
    <row r="164" spans="1:5" ht="18" customHeight="1" thickBot="1">
      <c r="A164" s="154"/>
      <c r="B164" s="110" t="s">
        <v>362</v>
      </c>
      <c r="C164" s="111" t="s">
        <v>363</v>
      </c>
      <c r="D164" s="111">
        <v>1</v>
      </c>
      <c r="E164" s="24" t="s">
        <v>389</v>
      </c>
    </row>
    <row r="165" spans="1:5" ht="18" customHeight="1" thickTop="1">
      <c r="A165" s="155" t="s">
        <v>399</v>
      </c>
      <c r="B165" s="125" t="s">
        <v>364</v>
      </c>
      <c r="C165" s="126" t="s">
        <v>26</v>
      </c>
      <c r="D165" s="126">
        <v>8</v>
      </c>
      <c r="E165" s="127" t="s">
        <v>392</v>
      </c>
    </row>
    <row r="166" spans="1:5" ht="18" customHeight="1">
      <c r="A166" s="156"/>
      <c r="B166" s="115" t="s">
        <v>362</v>
      </c>
      <c r="C166" s="116" t="s">
        <v>365</v>
      </c>
      <c r="D166" s="116">
        <v>1</v>
      </c>
      <c r="E166" s="128" t="s">
        <v>400</v>
      </c>
    </row>
    <row r="167" spans="1:5" ht="18" customHeight="1">
      <c r="A167" s="156"/>
      <c r="B167" s="115" t="s">
        <v>362</v>
      </c>
      <c r="C167" s="116" t="s">
        <v>373</v>
      </c>
      <c r="D167" s="116">
        <v>1</v>
      </c>
      <c r="E167" s="117" t="s">
        <v>402</v>
      </c>
    </row>
    <row r="168" spans="1:5" ht="18" customHeight="1">
      <c r="A168" s="156"/>
      <c r="B168" s="115" t="s">
        <v>367</v>
      </c>
      <c r="C168" s="116" t="s">
        <v>374</v>
      </c>
      <c r="D168" s="116">
        <v>4</v>
      </c>
      <c r="E168" s="128" t="s">
        <v>404</v>
      </c>
    </row>
    <row r="169" spans="1:5" ht="18" customHeight="1">
      <c r="A169" s="156"/>
      <c r="B169" s="115" t="s">
        <v>367</v>
      </c>
      <c r="C169" s="116" t="s">
        <v>375</v>
      </c>
      <c r="D169" s="116">
        <v>4</v>
      </c>
      <c r="E169" s="128" t="s">
        <v>427</v>
      </c>
    </row>
    <row r="170" spans="1:5" ht="18" customHeight="1">
      <c r="A170" s="156"/>
      <c r="B170" s="115" t="s">
        <v>367</v>
      </c>
      <c r="C170" s="116" t="s">
        <v>376</v>
      </c>
      <c r="D170" s="116">
        <v>4</v>
      </c>
      <c r="E170" s="128" t="s">
        <v>405</v>
      </c>
    </row>
    <row r="171" spans="1:5" ht="18" customHeight="1">
      <c r="A171" s="156"/>
      <c r="B171" s="115" t="s">
        <v>377</v>
      </c>
      <c r="C171" s="116" t="s">
        <v>378</v>
      </c>
      <c r="D171" s="116">
        <v>4</v>
      </c>
      <c r="E171" s="128" t="s">
        <v>406</v>
      </c>
    </row>
    <row r="172" spans="1:5" ht="18" customHeight="1" thickBot="1">
      <c r="A172" s="157"/>
      <c r="B172" s="118" t="s">
        <v>379</v>
      </c>
      <c r="C172" s="119" t="s">
        <v>380</v>
      </c>
      <c r="D172" s="119" t="s">
        <v>372</v>
      </c>
      <c r="E172" s="120" t="s">
        <v>407</v>
      </c>
    </row>
    <row r="173" spans="1:5" ht="18" customHeight="1" thickTop="1"/>
  </sheetData>
  <mergeCells count="31">
    <mergeCell ref="A1:E1"/>
    <mergeCell ref="A3:A4"/>
    <mergeCell ref="A5:A23"/>
    <mergeCell ref="A24:A39"/>
    <mergeCell ref="B26:E26"/>
    <mergeCell ref="B39:E39"/>
    <mergeCell ref="A110:A116"/>
    <mergeCell ref="A40:A53"/>
    <mergeCell ref="A54:A84"/>
    <mergeCell ref="B56:E56"/>
    <mergeCell ref="B59:E59"/>
    <mergeCell ref="B60:E60"/>
    <mergeCell ref="B63:E63"/>
    <mergeCell ref="B69:E69"/>
    <mergeCell ref="B71:E71"/>
    <mergeCell ref="B72:E72"/>
    <mergeCell ref="B74:E74"/>
    <mergeCell ref="B75:E75"/>
    <mergeCell ref="B77:E77"/>
    <mergeCell ref="B78:E78"/>
    <mergeCell ref="B80:E80"/>
    <mergeCell ref="A85:A109"/>
    <mergeCell ref="A161:E161"/>
    <mergeCell ref="A163:A164"/>
    <mergeCell ref="A165:A172"/>
    <mergeCell ref="A117:A127"/>
    <mergeCell ref="A128:A136"/>
    <mergeCell ref="A137:A146"/>
    <mergeCell ref="A149:E149"/>
    <mergeCell ref="A151:A152"/>
    <mergeCell ref="A153:A158"/>
  </mergeCells>
  <phoneticPr fontId="17" type="noConversion"/>
  <hyperlinks>
    <hyperlink ref="E15" location="ROBOT_MODE!A1" display="Robot mode: Details ROBOT_MODE" xr:uid="{4B26F590-54FD-418C-A387-7DC244E90658}"/>
    <hyperlink ref="E16" location="ROBOT_CONTROL_MODE!A1" display="Robot control mode: Details ROBOT_CONTROL_MODE" xr:uid="{D2C90948-893C-4B89-BFFF-C57177DC981F}"/>
    <hyperlink ref="E37" location="JOINT_AND_TOOL_MODE!A1" display="Joint mode. Details: JOINT_AND_TOOL_MODE" xr:uid="{13CF4C18-1D15-4E5D-B549-CA647A780733}"/>
    <hyperlink ref="E83" location="ROBOT_TYPE!A1" display="Robot Type. Details: ROBOT_TYPE" xr:uid="{01132BC1-CFE2-4E5E-A2E5-79C253B7622C}"/>
    <hyperlink ref="E84" location="ROBOT_STRUCTURE_TYPE!A1" display="Robot structure type. Details: ROBOT_STRUCTURE_TYPE" xr:uid="{1A48C583-AE97-43C5-8D3C-489B3E645FA6}"/>
    <hyperlink ref="E89:E90" location="ANALOG_DOMAIN!A1" display="Analog input IO0 configure, Details: ANALOG_DOMAIN" xr:uid="{7CDCA633-A730-4914-89F1-2EAE995E3D95}"/>
    <hyperlink ref="E91" location="ANALOG_DOMAIN!A1" display="Tool analog IO configure, Details: ANALOG_DOMAIN" xr:uid="{57136FEC-8F89-47CA-AFA7-EE884A681B7C}"/>
    <hyperlink ref="E95:E96" location="ANALOG_DOMAIN!A1" display="Analog output IO0 configure. Details: ANALOG_DOMAIN" xr:uid="{928882B9-1943-4269-9260-8D5ECC261153}"/>
    <hyperlink ref="E97" location="ANALOG_DOMAIN!A1" display="Tool analog output io configure. Details: ANALOG_DOMAIN" xr:uid="{8ED6A8F3-F323-4533-98DB-C3EAD37D1366}"/>
    <hyperlink ref="E105" location="SAFETY_MODE!A1" display="Motherboard aggregated mode. Details: SAFETY_MODE" xr:uid="{576A743B-11C4-48D4-B3E8-2C417E7E2E51}"/>
    <hyperlink ref="E127" location="JOINT_AND_TOOL_MODE!A1" display="Tool mode. Details: JOINT_AND_TOOL_MODE" xr:uid="{F7FC56D9-2A3F-43F9-B267-7B0915C68FCB}"/>
    <hyperlink ref="E119" location="ANALOG_DOMAIN!A1" display="Tool analog IO output configure. Details: ANALOG_DOMAIN" xr:uid="{F8D1E4A6-A96D-40EB-BB22-067B2E918AA3}"/>
    <hyperlink ref="E120" location="ANALOG_DOMAIN!A1" display="Tool analog IO input configure. Details: ANALOG_DOMAIN" xr:uid="{D994B8E0-CE22-4F02-83EF-AF89C30604A3}"/>
    <hyperlink ref="E124" location="TOOL_OUTPUT_VOLTAGE!A1" display="Tool output voltage. Details: TOOL_OUTPUT_VOLTAGE" xr:uid="{27C10588-8F4B-4E13-9DE7-EC31914E55F6}"/>
    <hyperlink ref="A1:E1" location="报文格式!A1" display="Robot's State Package（Format: Package Format）" xr:uid="{30787D43-9087-4F03-A889-40C7FDAA3EBB}"/>
    <hyperlink ref="E131" location="SAFETY_OPERATIONAL_MODE!A1" display="Robot safety operation mode. Deltails: SAFETY_OPERATIONAL_MODE" xr:uid="{30311428-240D-4BFD-A293-D6F9F6C15AC3}"/>
    <hyperlink ref="E109" location="SAFETY_MODE!A1" display="Motherboard mode. Details: SAFETY_MODE" xr:uid="{BC702FA1-D651-465D-9CBC-F016B963FD8A}"/>
    <hyperlink ref="E20" location="ROBOT_SPEED_MODE!A1" display="Robot speed mode, Details: ROBOT_SPEED_MODE" xr:uid="{60E36AF4-99A3-425A-A72E-C13FF914B56C}"/>
    <hyperlink ref="E168" location="'Exception code'!A1" display="Exception code" xr:uid="{B01BFFC7-AE05-42EF-B893-A1F41CA02884}"/>
    <hyperlink ref="E169" location="'Exception code'!A1" display="Exception sub-code" xr:uid="{3E5E6FE5-5673-4CFB-9E72-08AA4025E4B2}"/>
    <hyperlink ref="E166" location="'Exception Source'!A1" display="Exception source" xr:uid="{61635DBC-B5F5-4856-A584-9284447C9EBA}"/>
    <hyperlink ref="E170" location="'Exception Level'!A1" display="Exception level" xr:uid="{50C05D2A-94E5-476E-99A2-D953423CCDE4}"/>
    <hyperlink ref="E171" location="ExceptionDataType!A1" display="Data type of exception" xr:uid="{BD10CB26-BB75-47E9-9995-AE84C83630A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F8D0B-A2C7-4B4A-8E5D-E75474E5AED7}">
  <dimension ref="A1:E173"/>
  <sheetViews>
    <sheetView topLeftCell="B136" workbookViewId="0">
      <selection activeCell="B109" sqref="A1:XFD1048576"/>
    </sheetView>
  </sheetViews>
  <sheetFormatPr defaultColWidth="8.875" defaultRowHeight="18" customHeight="1"/>
  <cols>
    <col min="1" max="1" width="50.375" style="4" customWidth="1"/>
    <col min="2" max="2" width="15.875" style="12" customWidth="1"/>
    <col min="3" max="3" width="49.625" style="13" customWidth="1"/>
    <col min="4" max="4" width="20.375" style="13" customWidth="1"/>
    <col min="5" max="5" width="111.625" style="14" customWidth="1"/>
    <col min="6" max="6" width="8.875" style="4" customWidth="1"/>
    <col min="7" max="16384" width="8.875" style="4"/>
  </cols>
  <sheetData>
    <row r="1" spans="1:5" s="1" customFormat="1" ht="18" customHeight="1" thickTop="1">
      <c r="A1" s="174" t="s">
        <v>10</v>
      </c>
      <c r="B1" s="175"/>
      <c r="C1" s="175"/>
      <c r="D1" s="175"/>
      <c r="E1" s="176"/>
    </row>
    <row r="2" spans="1:5" ht="18" customHeight="1" thickBot="1">
      <c r="A2" s="15"/>
      <c r="B2" s="129" t="s">
        <v>11</v>
      </c>
      <c r="C2" s="17" t="s">
        <v>12</v>
      </c>
      <c r="D2" s="17" t="s">
        <v>13</v>
      </c>
      <c r="E2" s="18" t="s">
        <v>384</v>
      </c>
    </row>
    <row r="3" spans="1:5" ht="18" customHeight="1" thickTop="1">
      <c r="A3" s="177" t="s">
        <v>398</v>
      </c>
      <c r="B3" s="19" t="s">
        <v>15</v>
      </c>
      <c r="C3" s="20" t="s">
        <v>16</v>
      </c>
      <c r="D3" s="20">
        <v>4</v>
      </c>
      <c r="E3" s="21" t="s">
        <v>386</v>
      </c>
    </row>
    <row r="4" spans="1:5" ht="18" customHeight="1" thickBot="1">
      <c r="A4" s="154"/>
      <c r="B4" s="22" t="s">
        <v>18</v>
      </c>
      <c r="C4" s="23" t="s">
        <v>19</v>
      </c>
      <c r="D4" s="23">
        <v>1</v>
      </c>
      <c r="E4" s="24" t="s">
        <v>388</v>
      </c>
    </row>
    <row r="5" spans="1:5" ht="18" customHeight="1" thickTop="1">
      <c r="A5" s="178" t="str">
        <f>"Robot mode sub-package("&amp;SUM(D5:D23)&amp;" bytes)"</f>
        <v>Robot mode sub-package(53 bytes)</v>
      </c>
      <c r="B5" s="25" t="s">
        <v>15</v>
      </c>
      <c r="C5" s="26" t="s">
        <v>21</v>
      </c>
      <c r="D5" s="26">
        <v>4</v>
      </c>
      <c r="E5" s="27" t="s">
        <v>22</v>
      </c>
    </row>
    <row r="6" spans="1:5" ht="18" customHeight="1">
      <c r="A6" s="179"/>
      <c r="B6" s="28" t="s">
        <v>18</v>
      </c>
      <c r="C6" s="29" t="s">
        <v>23</v>
      </c>
      <c r="D6" s="29">
        <v>1</v>
      </c>
      <c r="E6" s="30" t="s">
        <v>24</v>
      </c>
    </row>
    <row r="7" spans="1:5" ht="18" customHeight="1">
      <c r="A7" s="179"/>
      <c r="B7" s="28" t="s">
        <v>25</v>
      </c>
      <c r="C7" s="29" t="s">
        <v>26</v>
      </c>
      <c r="D7" s="29">
        <v>8</v>
      </c>
      <c r="E7" s="30" t="s">
        <v>391</v>
      </c>
    </row>
    <row r="8" spans="1:5" ht="18" customHeight="1">
      <c r="A8" s="179"/>
      <c r="B8" s="28" t="s">
        <v>28</v>
      </c>
      <c r="C8" s="29" t="s">
        <v>29</v>
      </c>
      <c r="D8" s="29">
        <v>1</v>
      </c>
      <c r="E8" s="30" t="s">
        <v>29</v>
      </c>
    </row>
    <row r="9" spans="1:5" ht="18" customHeight="1">
      <c r="A9" s="179"/>
      <c r="B9" s="28" t="s">
        <v>28</v>
      </c>
      <c r="C9" s="29" t="s">
        <v>29</v>
      </c>
      <c r="D9" s="29">
        <v>1</v>
      </c>
      <c r="E9" s="30" t="s">
        <v>29</v>
      </c>
    </row>
    <row r="10" spans="1:5" ht="18" customHeight="1">
      <c r="A10" s="179"/>
      <c r="B10" s="28" t="s">
        <v>28</v>
      </c>
      <c r="C10" s="29" t="s">
        <v>30</v>
      </c>
      <c r="D10" s="29">
        <v>1</v>
      </c>
      <c r="E10" s="30" t="s">
        <v>31</v>
      </c>
    </row>
    <row r="11" spans="1:5" ht="18" customHeight="1">
      <c r="A11" s="179"/>
      <c r="B11" s="28" t="s">
        <v>28</v>
      </c>
      <c r="C11" s="29" t="s">
        <v>32</v>
      </c>
      <c r="D11" s="29">
        <v>1</v>
      </c>
      <c r="E11" s="30" t="s">
        <v>33</v>
      </c>
    </row>
    <row r="12" spans="1:5" ht="18" customHeight="1">
      <c r="A12" s="179"/>
      <c r="B12" s="28" t="s">
        <v>28</v>
      </c>
      <c r="C12" s="29" t="s">
        <v>34</v>
      </c>
      <c r="D12" s="29">
        <v>1</v>
      </c>
      <c r="E12" s="30" t="s">
        <v>35</v>
      </c>
    </row>
    <row r="13" spans="1:5" ht="18" customHeight="1">
      <c r="A13" s="179"/>
      <c r="B13" s="28" t="s">
        <v>28</v>
      </c>
      <c r="C13" s="29" t="s">
        <v>36</v>
      </c>
      <c r="D13" s="29">
        <v>1</v>
      </c>
      <c r="E13" s="30" t="s">
        <v>37</v>
      </c>
    </row>
    <row r="14" spans="1:5" ht="18" customHeight="1">
      <c r="A14" s="179"/>
      <c r="B14" s="28" t="s">
        <v>28</v>
      </c>
      <c r="C14" s="29" t="s">
        <v>38</v>
      </c>
      <c r="D14" s="29">
        <v>1</v>
      </c>
      <c r="E14" s="30" t="s">
        <v>39</v>
      </c>
    </row>
    <row r="15" spans="1:5" ht="18" customHeight="1">
      <c r="A15" s="179"/>
      <c r="B15" s="28" t="s">
        <v>18</v>
      </c>
      <c r="C15" s="29" t="s">
        <v>40</v>
      </c>
      <c r="D15" s="29">
        <v>1</v>
      </c>
      <c r="E15" s="31" t="s">
        <v>41</v>
      </c>
    </row>
    <row r="16" spans="1:5" ht="18" customHeight="1">
      <c r="A16" s="179"/>
      <c r="B16" s="28" t="s">
        <v>18</v>
      </c>
      <c r="C16" s="29" t="s">
        <v>42</v>
      </c>
      <c r="D16" s="29">
        <v>1</v>
      </c>
      <c r="E16" s="31" t="s">
        <v>43</v>
      </c>
    </row>
    <row r="17" spans="1:5" ht="18" customHeight="1">
      <c r="A17" s="179"/>
      <c r="B17" s="28" t="s">
        <v>44</v>
      </c>
      <c r="C17" s="29" t="s">
        <v>45</v>
      </c>
      <c r="D17" s="29">
        <v>8</v>
      </c>
      <c r="E17" s="30" t="s">
        <v>46</v>
      </c>
    </row>
    <row r="18" spans="1:5" ht="18" customHeight="1">
      <c r="A18" s="179"/>
      <c r="B18" s="28" t="s">
        <v>44</v>
      </c>
      <c r="C18" s="29" t="s">
        <v>47</v>
      </c>
      <c r="D18" s="29">
        <v>8</v>
      </c>
      <c r="E18" s="30" t="s">
        <v>48</v>
      </c>
    </row>
    <row r="19" spans="1:5" ht="18" customHeight="1">
      <c r="A19" s="179"/>
      <c r="B19" s="28" t="s">
        <v>44</v>
      </c>
      <c r="C19" s="29" t="s">
        <v>49</v>
      </c>
      <c r="D19" s="29">
        <v>8</v>
      </c>
      <c r="E19" s="30" t="s">
        <v>50</v>
      </c>
    </row>
    <row r="20" spans="1:5" ht="18" customHeight="1">
      <c r="A20" s="179"/>
      <c r="B20" s="32" t="s">
        <v>18</v>
      </c>
      <c r="C20" s="33" t="s">
        <v>51</v>
      </c>
      <c r="D20" s="33">
        <v>1</v>
      </c>
      <c r="E20" s="34" t="s">
        <v>52</v>
      </c>
    </row>
    <row r="21" spans="1:5" ht="18" customHeight="1">
      <c r="A21" s="179"/>
      <c r="B21" s="35" t="s">
        <v>28</v>
      </c>
      <c r="C21" s="36" t="s">
        <v>53</v>
      </c>
      <c r="D21" s="36">
        <v>1</v>
      </c>
      <c r="E21" s="37" t="s">
        <v>54</v>
      </c>
    </row>
    <row r="22" spans="1:5" ht="18" customHeight="1">
      <c r="A22" s="179"/>
      <c r="B22" s="35" t="s">
        <v>28</v>
      </c>
      <c r="C22" s="36" t="s">
        <v>55</v>
      </c>
      <c r="D22" s="36">
        <v>1</v>
      </c>
      <c r="E22" s="37" t="s">
        <v>56</v>
      </c>
    </row>
    <row r="23" spans="1:5" ht="18" customHeight="1" thickBot="1">
      <c r="A23" s="180"/>
      <c r="B23" s="38" t="s">
        <v>15</v>
      </c>
      <c r="C23" s="39" t="s">
        <v>29</v>
      </c>
      <c r="D23" s="39">
        <v>4</v>
      </c>
      <c r="E23" s="40" t="s">
        <v>29</v>
      </c>
    </row>
    <row r="24" spans="1:5" ht="18" customHeight="1" thickTop="1">
      <c r="A24" s="181" t="str">
        <f>"Joint sub-package("&amp;SUM(D24:D25)+SUM(D27:D38)*6&amp;" bytes)"</f>
        <v>Joint sub-package(347 bytes)</v>
      </c>
      <c r="B24" s="41" t="s">
        <v>15</v>
      </c>
      <c r="C24" s="42" t="s">
        <v>57</v>
      </c>
      <c r="D24" s="42">
        <v>4</v>
      </c>
      <c r="E24" s="43" t="s">
        <v>22</v>
      </c>
    </row>
    <row r="25" spans="1:5" ht="18" customHeight="1">
      <c r="A25" s="182"/>
      <c r="B25" s="44" t="s">
        <v>18</v>
      </c>
      <c r="C25" s="45" t="s">
        <v>58</v>
      </c>
      <c r="D25" s="45">
        <v>1</v>
      </c>
      <c r="E25" s="46" t="s">
        <v>59</v>
      </c>
    </row>
    <row r="26" spans="1:5" ht="18" customHeight="1">
      <c r="A26" s="182"/>
      <c r="B26" s="169" t="s">
        <v>60</v>
      </c>
      <c r="C26" s="170"/>
      <c r="D26" s="170"/>
      <c r="E26" s="171"/>
    </row>
    <row r="27" spans="1:5" ht="18" customHeight="1">
      <c r="A27" s="182"/>
      <c r="B27" s="47" t="s">
        <v>44</v>
      </c>
      <c r="C27" s="45" t="s">
        <v>61</v>
      </c>
      <c r="D27" s="45">
        <v>8</v>
      </c>
      <c r="E27" s="46" t="s">
        <v>62</v>
      </c>
    </row>
    <row r="28" spans="1:5" ht="18" customHeight="1">
      <c r="A28" s="182"/>
      <c r="B28" s="47" t="s">
        <v>44</v>
      </c>
      <c r="C28" s="45" t="s">
        <v>63</v>
      </c>
      <c r="D28" s="45">
        <v>8</v>
      </c>
      <c r="E28" s="46" t="s">
        <v>64</v>
      </c>
    </row>
    <row r="29" spans="1:5" ht="18" customHeight="1">
      <c r="A29" s="182"/>
      <c r="B29" s="47" t="s">
        <v>44</v>
      </c>
      <c r="C29" s="45" t="s">
        <v>65</v>
      </c>
      <c r="D29" s="45">
        <v>8</v>
      </c>
      <c r="E29" s="46" t="s">
        <v>66</v>
      </c>
    </row>
    <row r="30" spans="1:5" ht="18" customHeight="1">
      <c r="A30" s="182"/>
      <c r="B30" s="47" t="s">
        <v>67</v>
      </c>
      <c r="C30" s="45" t="s">
        <v>29</v>
      </c>
      <c r="D30" s="45">
        <v>4</v>
      </c>
      <c r="E30" s="46" t="s">
        <v>29</v>
      </c>
    </row>
    <row r="31" spans="1:5" ht="18" customHeight="1">
      <c r="A31" s="182"/>
      <c r="B31" s="47" t="s">
        <v>67</v>
      </c>
      <c r="C31" s="45" t="s">
        <v>29</v>
      </c>
      <c r="D31" s="45">
        <v>4</v>
      </c>
      <c r="E31" s="46" t="s">
        <v>29</v>
      </c>
    </row>
    <row r="32" spans="1:5" ht="18" customHeight="1">
      <c r="A32" s="182"/>
      <c r="B32" s="47" t="s">
        <v>67</v>
      </c>
      <c r="C32" s="45" t="s">
        <v>29</v>
      </c>
      <c r="D32" s="45">
        <v>4</v>
      </c>
      <c r="E32" s="46" t="s">
        <v>29</v>
      </c>
    </row>
    <row r="33" spans="1:5" ht="18" customHeight="1">
      <c r="A33" s="182"/>
      <c r="B33" s="47" t="s">
        <v>68</v>
      </c>
      <c r="C33" s="45" t="s">
        <v>69</v>
      </c>
      <c r="D33" s="45">
        <v>4</v>
      </c>
      <c r="E33" s="46" t="s">
        <v>70</v>
      </c>
    </row>
    <row r="34" spans="1:5" ht="18" customHeight="1">
      <c r="A34" s="182"/>
      <c r="B34" s="47" t="s">
        <v>68</v>
      </c>
      <c r="C34" s="45" t="s">
        <v>71</v>
      </c>
      <c r="D34" s="45">
        <v>4</v>
      </c>
      <c r="E34" s="46" t="s">
        <v>72</v>
      </c>
    </row>
    <row r="35" spans="1:5" ht="18" customHeight="1">
      <c r="A35" s="182"/>
      <c r="B35" s="47" t="s">
        <v>68</v>
      </c>
      <c r="C35" s="45" t="s">
        <v>73</v>
      </c>
      <c r="D35" s="45">
        <v>4</v>
      </c>
      <c r="E35" s="46" t="s">
        <v>74</v>
      </c>
    </row>
    <row r="36" spans="1:5" ht="18" customHeight="1">
      <c r="A36" s="182"/>
      <c r="B36" s="47" t="s">
        <v>68</v>
      </c>
      <c r="C36" s="45" t="s">
        <v>75</v>
      </c>
      <c r="D36" s="45">
        <v>4</v>
      </c>
      <c r="E36" s="46" t="s">
        <v>76</v>
      </c>
    </row>
    <row r="37" spans="1:5" ht="18" customHeight="1">
      <c r="A37" s="182"/>
      <c r="B37" s="47" t="s">
        <v>18</v>
      </c>
      <c r="C37" s="45" t="s">
        <v>77</v>
      </c>
      <c r="D37" s="45">
        <v>1</v>
      </c>
      <c r="E37" s="48" t="s">
        <v>78</v>
      </c>
    </row>
    <row r="38" spans="1:5" ht="18" customHeight="1">
      <c r="A38" s="182"/>
      <c r="B38" s="47" t="s">
        <v>15</v>
      </c>
      <c r="C38" s="45" t="s">
        <v>79</v>
      </c>
      <c r="D38" s="45">
        <v>4</v>
      </c>
      <c r="E38" s="46" t="s">
        <v>79</v>
      </c>
    </row>
    <row r="39" spans="1:5" ht="18" customHeight="1" thickBot="1">
      <c r="A39" s="183"/>
      <c r="B39" s="184" t="s">
        <v>80</v>
      </c>
      <c r="C39" s="185"/>
      <c r="D39" s="185"/>
      <c r="E39" s="186"/>
    </row>
    <row r="40" spans="1:5" ht="18" customHeight="1" thickTop="1">
      <c r="A40" s="166" t="str">
        <f>"Cartesian sub-package("&amp;SUM(D40:D53)&amp;" bytes)"</f>
        <v>Cartesian sub-package(101 bytes)</v>
      </c>
      <c r="B40" s="49" t="s">
        <v>15</v>
      </c>
      <c r="C40" s="50" t="s">
        <v>81</v>
      </c>
      <c r="D40" s="50">
        <v>4</v>
      </c>
      <c r="E40" s="51" t="s">
        <v>22</v>
      </c>
    </row>
    <row r="41" spans="1:5" ht="18" customHeight="1">
      <c r="A41" s="167"/>
      <c r="B41" s="28" t="s">
        <v>18</v>
      </c>
      <c r="C41" s="29" t="s">
        <v>82</v>
      </c>
      <c r="D41" s="29">
        <v>1</v>
      </c>
      <c r="E41" s="30" t="s">
        <v>83</v>
      </c>
    </row>
    <row r="42" spans="1:5" ht="18" customHeight="1">
      <c r="A42" s="167"/>
      <c r="B42" s="28" t="s">
        <v>44</v>
      </c>
      <c r="C42" s="29" t="s">
        <v>84</v>
      </c>
      <c r="D42" s="29">
        <v>8</v>
      </c>
      <c r="E42" s="30" t="s">
        <v>85</v>
      </c>
    </row>
    <row r="43" spans="1:5" ht="18" customHeight="1">
      <c r="A43" s="167"/>
      <c r="B43" s="28" t="s">
        <v>44</v>
      </c>
      <c r="C43" s="29" t="s">
        <v>86</v>
      </c>
      <c r="D43" s="29">
        <v>8</v>
      </c>
      <c r="E43" s="30" t="s">
        <v>87</v>
      </c>
    </row>
    <row r="44" spans="1:5" ht="18" customHeight="1">
      <c r="A44" s="167"/>
      <c r="B44" s="28" t="s">
        <v>44</v>
      </c>
      <c r="C44" s="29" t="s">
        <v>88</v>
      </c>
      <c r="D44" s="29">
        <v>8</v>
      </c>
      <c r="E44" s="30" t="s">
        <v>89</v>
      </c>
    </row>
    <row r="45" spans="1:5" ht="18" customHeight="1">
      <c r="A45" s="167"/>
      <c r="B45" s="28" t="s">
        <v>44</v>
      </c>
      <c r="C45" s="29" t="s">
        <v>90</v>
      </c>
      <c r="D45" s="29">
        <v>8</v>
      </c>
      <c r="E45" s="30" t="s">
        <v>91</v>
      </c>
    </row>
    <row r="46" spans="1:5" ht="18" customHeight="1">
      <c r="A46" s="167"/>
      <c r="B46" s="28" t="s">
        <v>44</v>
      </c>
      <c r="C46" s="29" t="s">
        <v>92</v>
      </c>
      <c r="D46" s="29">
        <v>8</v>
      </c>
      <c r="E46" s="30" t="s">
        <v>93</v>
      </c>
    </row>
    <row r="47" spans="1:5" ht="18" customHeight="1">
      <c r="A47" s="167"/>
      <c r="B47" s="28" t="s">
        <v>44</v>
      </c>
      <c r="C47" s="29" t="s">
        <v>94</v>
      </c>
      <c r="D47" s="29">
        <v>8</v>
      </c>
      <c r="E47" s="30" t="s">
        <v>95</v>
      </c>
    </row>
    <row r="48" spans="1:5" ht="18" customHeight="1">
      <c r="A48" s="167"/>
      <c r="B48" s="28" t="s">
        <v>44</v>
      </c>
      <c r="C48" s="29" t="s">
        <v>96</v>
      </c>
      <c r="D48" s="29">
        <v>8</v>
      </c>
      <c r="E48" s="30" t="s">
        <v>97</v>
      </c>
    </row>
    <row r="49" spans="1:5" ht="18" customHeight="1">
      <c r="A49" s="167"/>
      <c r="B49" s="28" t="s">
        <v>44</v>
      </c>
      <c r="C49" s="29" t="s">
        <v>98</v>
      </c>
      <c r="D49" s="29">
        <v>8</v>
      </c>
      <c r="E49" s="30" t="s">
        <v>99</v>
      </c>
    </row>
    <row r="50" spans="1:5" ht="18" customHeight="1">
      <c r="A50" s="167"/>
      <c r="B50" s="28" t="s">
        <v>44</v>
      </c>
      <c r="C50" s="29" t="s">
        <v>100</v>
      </c>
      <c r="D50" s="29">
        <v>8</v>
      </c>
      <c r="E50" s="30" t="s">
        <v>101</v>
      </c>
    </row>
    <row r="51" spans="1:5" ht="18" customHeight="1">
      <c r="A51" s="167"/>
      <c r="B51" s="28" t="s">
        <v>44</v>
      </c>
      <c r="C51" s="29" t="s">
        <v>102</v>
      </c>
      <c r="D51" s="29">
        <v>8</v>
      </c>
      <c r="E51" s="30" t="s">
        <v>103</v>
      </c>
    </row>
    <row r="52" spans="1:5" ht="18" customHeight="1">
      <c r="A52" s="167"/>
      <c r="B52" s="28" t="s">
        <v>44</v>
      </c>
      <c r="C52" s="29" t="s">
        <v>104</v>
      </c>
      <c r="D52" s="29">
        <v>8</v>
      </c>
      <c r="E52" s="30" t="s">
        <v>105</v>
      </c>
    </row>
    <row r="53" spans="1:5" ht="18" customHeight="1" thickBot="1">
      <c r="A53" s="168"/>
      <c r="B53" s="52" t="s">
        <v>44</v>
      </c>
      <c r="C53" s="53" t="s">
        <v>106</v>
      </c>
      <c r="D53" s="29">
        <v>8</v>
      </c>
      <c r="E53" s="54" t="s">
        <v>107</v>
      </c>
    </row>
    <row r="54" spans="1:5" ht="18" customHeight="1" thickTop="1">
      <c r="A54" s="153" t="str">
        <f>"Robot configure sub-package("&amp;SUM(D54:D55)+SUM(D57:D58)*6+SUM(D61:D62)*6+SUM(D64:D68)+D70*6+D73*6+D76*6+D79*6+SUM(D81:D84)&amp;" bytes)"</f>
        <v>Robot configure sub-package(445 bytes)</v>
      </c>
      <c r="B54" s="41" t="s">
        <v>15</v>
      </c>
      <c r="C54" s="42" t="s">
        <v>108</v>
      </c>
      <c r="D54" s="42">
        <v>4</v>
      </c>
      <c r="E54" s="43" t="s">
        <v>22</v>
      </c>
    </row>
    <row r="55" spans="1:5" ht="18" customHeight="1">
      <c r="A55" s="161"/>
      <c r="B55" s="44" t="s">
        <v>18</v>
      </c>
      <c r="C55" s="45" t="s">
        <v>109</v>
      </c>
      <c r="D55" s="45">
        <v>1</v>
      </c>
      <c r="E55" s="46" t="s">
        <v>110</v>
      </c>
    </row>
    <row r="56" spans="1:5" ht="18" customHeight="1">
      <c r="A56" s="161"/>
      <c r="B56" s="169" t="s">
        <v>60</v>
      </c>
      <c r="C56" s="170"/>
      <c r="D56" s="170"/>
      <c r="E56" s="171"/>
    </row>
    <row r="57" spans="1:5" ht="18" customHeight="1">
      <c r="A57" s="161"/>
      <c r="B57" s="44" t="s">
        <v>44</v>
      </c>
      <c r="C57" s="45" t="s">
        <v>111</v>
      </c>
      <c r="D57" s="45">
        <v>8</v>
      </c>
      <c r="E57" s="46" t="s">
        <v>112</v>
      </c>
    </row>
    <row r="58" spans="1:5" ht="18" customHeight="1">
      <c r="A58" s="161"/>
      <c r="B58" s="44" t="s">
        <v>44</v>
      </c>
      <c r="C58" s="45" t="s">
        <v>113</v>
      </c>
      <c r="D58" s="45">
        <v>8</v>
      </c>
      <c r="E58" s="46" t="s">
        <v>114</v>
      </c>
    </row>
    <row r="59" spans="1:5" ht="18" customHeight="1">
      <c r="A59" s="161"/>
      <c r="B59" s="169" t="s">
        <v>80</v>
      </c>
      <c r="C59" s="170"/>
      <c r="D59" s="170"/>
      <c r="E59" s="171"/>
    </row>
    <row r="60" spans="1:5" ht="18" customHeight="1">
      <c r="A60" s="161"/>
      <c r="B60" s="169" t="s">
        <v>60</v>
      </c>
      <c r="C60" s="170"/>
      <c r="D60" s="170"/>
      <c r="E60" s="171"/>
    </row>
    <row r="61" spans="1:5" ht="18" customHeight="1">
      <c r="A61" s="161"/>
      <c r="B61" s="44" t="s">
        <v>44</v>
      </c>
      <c r="C61" s="45" t="s">
        <v>115</v>
      </c>
      <c r="D61" s="45">
        <v>8</v>
      </c>
      <c r="E61" s="46" t="s">
        <v>116</v>
      </c>
    </row>
    <row r="62" spans="1:5" ht="18" customHeight="1">
      <c r="A62" s="161"/>
      <c r="B62" s="44" t="s">
        <v>44</v>
      </c>
      <c r="C62" s="45" t="s">
        <v>117</v>
      </c>
      <c r="D62" s="45">
        <v>8</v>
      </c>
      <c r="E62" s="46" t="s">
        <v>118</v>
      </c>
    </row>
    <row r="63" spans="1:5" ht="18" customHeight="1">
      <c r="A63" s="161"/>
      <c r="B63" s="169" t="s">
        <v>80</v>
      </c>
      <c r="C63" s="170"/>
      <c r="D63" s="170"/>
      <c r="E63" s="171"/>
    </row>
    <row r="64" spans="1:5" ht="18" customHeight="1">
      <c r="A64" s="161"/>
      <c r="B64" s="44" t="s">
        <v>44</v>
      </c>
      <c r="C64" s="45" t="s">
        <v>119</v>
      </c>
      <c r="D64" s="45">
        <v>8</v>
      </c>
      <c r="E64" s="46" t="s">
        <v>120</v>
      </c>
    </row>
    <row r="65" spans="1:5" ht="18" customHeight="1">
      <c r="A65" s="161"/>
      <c r="B65" s="44" t="s">
        <v>44</v>
      </c>
      <c r="C65" s="45" t="s">
        <v>121</v>
      </c>
      <c r="D65" s="45">
        <v>8</v>
      </c>
      <c r="E65" s="46" t="s">
        <v>122</v>
      </c>
    </row>
    <row r="66" spans="1:5" ht="18" customHeight="1">
      <c r="A66" s="161"/>
      <c r="B66" s="44" t="s">
        <v>44</v>
      </c>
      <c r="C66" s="45" t="s">
        <v>123</v>
      </c>
      <c r="D66" s="45">
        <v>8</v>
      </c>
      <c r="E66" s="46" t="s">
        <v>124</v>
      </c>
    </row>
    <row r="67" spans="1:5" ht="18" customHeight="1">
      <c r="A67" s="161"/>
      <c r="B67" s="44" t="s">
        <v>44</v>
      </c>
      <c r="C67" s="45" t="s">
        <v>125</v>
      </c>
      <c r="D67" s="45">
        <v>8</v>
      </c>
      <c r="E67" s="46" t="s">
        <v>126</v>
      </c>
    </row>
    <row r="68" spans="1:5" ht="18" customHeight="1">
      <c r="A68" s="161"/>
      <c r="B68" s="44" t="s">
        <v>44</v>
      </c>
      <c r="C68" s="45" t="s">
        <v>127</v>
      </c>
      <c r="D68" s="45">
        <v>8</v>
      </c>
      <c r="E68" s="46" t="s">
        <v>128</v>
      </c>
    </row>
    <row r="69" spans="1:5" ht="18" customHeight="1">
      <c r="A69" s="161"/>
      <c r="B69" s="169" t="s">
        <v>60</v>
      </c>
      <c r="C69" s="170"/>
      <c r="D69" s="170"/>
      <c r="E69" s="171"/>
    </row>
    <row r="70" spans="1:5" ht="18" customHeight="1">
      <c r="A70" s="161"/>
      <c r="B70" s="44" t="s">
        <v>44</v>
      </c>
      <c r="C70" s="45" t="s">
        <v>129</v>
      </c>
      <c r="D70" s="45">
        <v>8</v>
      </c>
      <c r="E70" s="46" t="s">
        <v>130</v>
      </c>
    </row>
    <row r="71" spans="1:5" ht="18" customHeight="1">
      <c r="A71" s="161"/>
      <c r="B71" s="169" t="s">
        <v>80</v>
      </c>
      <c r="C71" s="170"/>
      <c r="D71" s="170"/>
      <c r="E71" s="171"/>
    </row>
    <row r="72" spans="1:5" ht="18" customHeight="1">
      <c r="A72" s="161"/>
      <c r="B72" s="169" t="s">
        <v>60</v>
      </c>
      <c r="C72" s="170"/>
      <c r="D72" s="170"/>
      <c r="E72" s="171"/>
    </row>
    <row r="73" spans="1:5" ht="18" customHeight="1">
      <c r="A73" s="161"/>
      <c r="B73" s="44" t="s">
        <v>44</v>
      </c>
      <c r="C73" s="45" t="s">
        <v>131</v>
      </c>
      <c r="D73" s="45">
        <v>8</v>
      </c>
      <c r="E73" s="46" t="s">
        <v>132</v>
      </c>
    </row>
    <row r="74" spans="1:5" ht="18" customHeight="1">
      <c r="A74" s="161"/>
      <c r="B74" s="169" t="s">
        <v>80</v>
      </c>
      <c r="C74" s="170"/>
      <c r="D74" s="170"/>
      <c r="E74" s="171"/>
    </row>
    <row r="75" spans="1:5" ht="18" customHeight="1">
      <c r="A75" s="161"/>
      <c r="B75" s="169" t="s">
        <v>60</v>
      </c>
      <c r="C75" s="170"/>
      <c r="D75" s="170"/>
      <c r="E75" s="171"/>
    </row>
    <row r="76" spans="1:5" ht="18" customHeight="1">
      <c r="A76" s="161"/>
      <c r="B76" s="44" t="s">
        <v>44</v>
      </c>
      <c r="C76" s="45" t="s">
        <v>133</v>
      </c>
      <c r="D76" s="45">
        <v>8</v>
      </c>
      <c r="E76" s="46" t="s">
        <v>134</v>
      </c>
    </row>
    <row r="77" spans="1:5" ht="18" customHeight="1">
      <c r="A77" s="161"/>
      <c r="B77" s="169" t="s">
        <v>80</v>
      </c>
      <c r="C77" s="170"/>
      <c r="D77" s="170"/>
      <c r="E77" s="171"/>
    </row>
    <row r="78" spans="1:5" ht="18" customHeight="1">
      <c r="A78" s="161"/>
      <c r="B78" s="170" t="s">
        <v>60</v>
      </c>
      <c r="C78" s="172"/>
      <c r="D78" s="172"/>
      <c r="E78" s="173"/>
    </row>
    <row r="79" spans="1:5" ht="18" customHeight="1">
      <c r="A79" s="161"/>
      <c r="B79" s="44" t="s">
        <v>44</v>
      </c>
      <c r="C79" s="45" t="s">
        <v>29</v>
      </c>
      <c r="D79" s="45">
        <v>8</v>
      </c>
      <c r="E79" s="46" t="s">
        <v>29</v>
      </c>
    </row>
    <row r="80" spans="1:5" ht="18" customHeight="1">
      <c r="A80" s="161"/>
      <c r="B80" s="169" t="s">
        <v>80</v>
      </c>
      <c r="C80" s="170"/>
      <c r="D80" s="170"/>
      <c r="E80" s="171"/>
    </row>
    <row r="81" spans="1:5" ht="18" customHeight="1">
      <c r="A81" s="161"/>
      <c r="B81" s="44" t="s">
        <v>15</v>
      </c>
      <c r="C81" s="45" t="s">
        <v>135</v>
      </c>
      <c r="D81" s="45">
        <v>4</v>
      </c>
      <c r="E81" s="46" t="s">
        <v>136</v>
      </c>
    </row>
    <row r="82" spans="1:5" ht="18" customHeight="1">
      <c r="A82" s="161"/>
      <c r="B82" s="44" t="s">
        <v>15</v>
      </c>
      <c r="C82" s="45" t="s">
        <v>137</v>
      </c>
      <c r="D82" s="45">
        <v>4</v>
      </c>
      <c r="E82" s="46" t="s">
        <v>138</v>
      </c>
    </row>
    <row r="83" spans="1:5" ht="18" customHeight="1">
      <c r="A83" s="161"/>
      <c r="B83" s="44" t="s">
        <v>15</v>
      </c>
      <c r="C83" s="45" t="s">
        <v>139</v>
      </c>
      <c r="D83" s="45">
        <v>4</v>
      </c>
      <c r="E83" s="48" t="s">
        <v>140</v>
      </c>
    </row>
    <row r="84" spans="1:5" ht="18" customHeight="1" thickBot="1">
      <c r="A84" s="154"/>
      <c r="B84" s="22" t="s">
        <v>15</v>
      </c>
      <c r="C84" s="23" t="s">
        <v>141</v>
      </c>
      <c r="D84" s="23">
        <v>4</v>
      </c>
      <c r="E84" s="55" t="s">
        <v>142</v>
      </c>
    </row>
    <row r="85" spans="1:5" ht="18" customHeight="1" thickTop="1">
      <c r="A85" s="166" t="str">
        <f>"Robot motherboard sub-package("&amp;SUM(D85:D109)&amp;" bytes)"</f>
        <v>Robot motherboard sub-package(88 bytes)</v>
      </c>
      <c r="B85" s="49" t="s">
        <v>15</v>
      </c>
      <c r="C85" s="50" t="s">
        <v>143</v>
      </c>
      <c r="D85" s="50">
        <v>4</v>
      </c>
      <c r="E85" s="51" t="s">
        <v>22</v>
      </c>
    </row>
    <row r="86" spans="1:5" ht="18" customHeight="1">
      <c r="A86" s="167"/>
      <c r="B86" s="28" t="s">
        <v>18</v>
      </c>
      <c r="C86" s="29" t="s">
        <v>144</v>
      </c>
      <c r="D86" s="29">
        <v>1</v>
      </c>
      <c r="E86" s="30" t="s">
        <v>145</v>
      </c>
    </row>
    <row r="87" spans="1:5" ht="18" customHeight="1">
      <c r="A87" s="167"/>
      <c r="B87" s="28" t="s">
        <v>15</v>
      </c>
      <c r="C87" s="29" t="s">
        <v>146</v>
      </c>
      <c r="D87" s="29">
        <v>4</v>
      </c>
      <c r="E87" s="30" t="s">
        <v>147</v>
      </c>
    </row>
    <row r="88" spans="1:5" ht="18" customHeight="1">
      <c r="A88" s="167"/>
      <c r="B88" s="28" t="s">
        <v>15</v>
      </c>
      <c r="C88" s="29" t="s">
        <v>148</v>
      </c>
      <c r="D88" s="29">
        <v>4</v>
      </c>
      <c r="E88" s="30" t="s">
        <v>149</v>
      </c>
    </row>
    <row r="89" spans="1:5" ht="18" customHeight="1">
      <c r="A89" s="167"/>
      <c r="B89" s="28" t="s">
        <v>18</v>
      </c>
      <c r="C89" s="29" t="s">
        <v>150</v>
      </c>
      <c r="D89" s="29">
        <v>1</v>
      </c>
      <c r="E89" s="56" t="s">
        <v>151</v>
      </c>
    </row>
    <row r="90" spans="1:5" ht="18" customHeight="1">
      <c r="A90" s="167"/>
      <c r="B90" s="28" t="s">
        <v>18</v>
      </c>
      <c r="C90" s="29" t="s">
        <v>152</v>
      </c>
      <c r="D90" s="29">
        <v>1</v>
      </c>
      <c r="E90" s="56" t="s">
        <v>153</v>
      </c>
    </row>
    <row r="91" spans="1:5" ht="18" customHeight="1">
      <c r="A91" s="167"/>
      <c r="B91" s="28" t="s">
        <v>18</v>
      </c>
      <c r="C91" s="29" t="s">
        <v>154</v>
      </c>
      <c r="D91" s="29">
        <v>1</v>
      </c>
      <c r="E91" s="56" t="s">
        <v>155</v>
      </c>
    </row>
    <row r="92" spans="1:5" ht="18" customHeight="1">
      <c r="A92" s="167"/>
      <c r="B92" s="28" t="s">
        <v>44</v>
      </c>
      <c r="C92" s="29" t="s">
        <v>156</v>
      </c>
      <c r="D92" s="29">
        <v>8</v>
      </c>
      <c r="E92" s="30" t="s">
        <v>157</v>
      </c>
    </row>
    <row r="93" spans="1:5" ht="18" customHeight="1">
      <c r="A93" s="167"/>
      <c r="B93" s="28" t="s">
        <v>44</v>
      </c>
      <c r="C93" s="29" t="s">
        <v>158</v>
      </c>
      <c r="D93" s="29">
        <v>8</v>
      </c>
      <c r="E93" s="30" t="s">
        <v>159</v>
      </c>
    </row>
    <row r="94" spans="1:5" ht="18" customHeight="1">
      <c r="A94" s="167"/>
      <c r="B94" s="28" t="s">
        <v>44</v>
      </c>
      <c r="C94" s="29" t="s">
        <v>160</v>
      </c>
      <c r="D94" s="29">
        <v>8</v>
      </c>
      <c r="E94" s="30" t="s">
        <v>161</v>
      </c>
    </row>
    <row r="95" spans="1:5" ht="18" customHeight="1">
      <c r="A95" s="167"/>
      <c r="B95" s="28" t="s">
        <v>18</v>
      </c>
      <c r="C95" s="29" t="s">
        <v>162</v>
      </c>
      <c r="D95" s="29">
        <v>1</v>
      </c>
      <c r="E95" s="56" t="s">
        <v>163</v>
      </c>
    </row>
    <row r="96" spans="1:5" ht="18" customHeight="1">
      <c r="A96" s="167"/>
      <c r="B96" s="28" t="s">
        <v>18</v>
      </c>
      <c r="C96" s="29" t="s">
        <v>164</v>
      </c>
      <c r="D96" s="29">
        <v>1</v>
      </c>
      <c r="E96" s="56" t="s">
        <v>165</v>
      </c>
    </row>
    <row r="97" spans="1:5" ht="18" customHeight="1">
      <c r="A97" s="167"/>
      <c r="B97" s="28" t="s">
        <v>18</v>
      </c>
      <c r="C97" s="29" t="s">
        <v>166</v>
      </c>
      <c r="D97" s="29">
        <v>1</v>
      </c>
      <c r="E97" s="56" t="s">
        <v>167</v>
      </c>
    </row>
    <row r="98" spans="1:5" ht="18" customHeight="1">
      <c r="A98" s="167"/>
      <c r="B98" s="28" t="s">
        <v>44</v>
      </c>
      <c r="C98" s="29" t="s">
        <v>168</v>
      </c>
      <c r="D98" s="29">
        <v>8</v>
      </c>
      <c r="E98" s="30" t="s">
        <v>169</v>
      </c>
    </row>
    <row r="99" spans="1:5" ht="18" customHeight="1">
      <c r="A99" s="167"/>
      <c r="B99" s="28" t="s">
        <v>44</v>
      </c>
      <c r="C99" s="29" t="s">
        <v>170</v>
      </c>
      <c r="D99" s="29">
        <v>8</v>
      </c>
      <c r="E99" s="30" t="s">
        <v>171</v>
      </c>
    </row>
    <row r="100" spans="1:5" ht="18" customHeight="1">
      <c r="A100" s="167"/>
      <c r="B100" s="28" t="s">
        <v>44</v>
      </c>
      <c r="C100" s="29" t="s">
        <v>172</v>
      </c>
      <c r="D100" s="29">
        <v>8</v>
      </c>
      <c r="E100" s="30" t="s">
        <v>173</v>
      </c>
    </row>
    <row r="101" spans="1:5" ht="18" customHeight="1">
      <c r="A101" s="167"/>
      <c r="B101" s="28" t="s">
        <v>68</v>
      </c>
      <c r="C101" s="29" t="s">
        <v>174</v>
      </c>
      <c r="D101" s="29">
        <v>4</v>
      </c>
      <c r="E101" s="30" t="s">
        <v>175</v>
      </c>
    </row>
    <row r="102" spans="1:5" ht="18" customHeight="1">
      <c r="A102" s="167"/>
      <c r="B102" s="28" t="s">
        <v>68</v>
      </c>
      <c r="C102" s="29" t="s">
        <v>176</v>
      </c>
      <c r="D102" s="29">
        <v>4</v>
      </c>
      <c r="E102" s="30" t="s">
        <v>177</v>
      </c>
    </row>
    <row r="103" spans="1:5" ht="18" customHeight="1">
      <c r="A103" s="167"/>
      <c r="B103" s="28" t="s">
        <v>68</v>
      </c>
      <c r="C103" s="29" t="s">
        <v>178</v>
      </c>
      <c r="D103" s="29">
        <v>4</v>
      </c>
      <c r="E103" s="30" t="s">
        <v>179</v>
      </c>
    </row>
    <row r="104" spans="1:5" ht="18" customHeight="1">
      <c r="A104" s="167"/>
      <c r="B104" s="28" t="s">
        <v>68</v>
      </c>
      <c r="C104" s="29" t="s">
        <v>180</v>
      </c>
      <c r="D104" s="29">
        <v>4</v>
      </c>
      <c r="E104" s="84" t="s">
        <v>181</v>
      </c>
    </row>
    <row r="105" spans="1:5" ht="18" customHeight="1">
      <c r="A105" s="167"/>
      <c r="B105" s="28" t="s">
        <v>18</v>
      </c>
      <c r="C105" s="29" t="s">
        <v>182</v>
      </c>
      <c r="D105" s="29">
        <v>1</v>
      </c>
      <c r="E105" s="31" t="s">
        <v>183</v>
      </c>
    </row>
    <row r="106" spans="1:5" ht="18" customHeight="1">
      <c r="A106" s="167"/>
      <c r="B106" s="28" t="s">
        <v>28</v>
      </c>
      <c r="C106" s="29" t="s">
        <v>184</v>
      </c>
      <c r="D106" s="29">
        <v>1</v>
      </c>
      <c r="E106" s="30" t="s">
        <v>185</v>
      </c>
    </row>
    <row r="107" spans="1:5" ht="18" customHeight="1">
      <c r="A107" s="167"/>
      <c r="B107" s="28" t="s">
        <v>28</v>
      </c>
      <c r="C107" s="29" t="s">
        <v>186</v>
      </c>
      <c r="D107" s="29">
        <v>1</v>
      </c>
      <c r="E107" s="30" t="s">
        <v>187</v>
      </c>
    </row>
    <row r="108" spans="1:5" ht="18" customHeight="1">
      <c r="A108" s="167"/>
      <c r="B108" s="28" t="s">
        <v>28</v>
      </c>
      <c r="C108" s="29" t="s">
        <v>188</v>
      </c>
      <c r="D108" s="29">
        <v>1</v>
      </c>
      <c r="E108" s="30" t="s">
        <v>189</v>
      </c>
    </row>
    <row r="109" spans="1:5" ht="18" customHeight="1" thickBot="1">
      <c r="A109" s="168"/>
      <c r="B109" s="52" t="s">
        <v>18</v>
      </c>
      <c r="C109" s="53" t="s">
        <v>190</v>
      </c>
      <c r="D109" s="53">
        <v>1</v>
      </c>
      <c r="E109" s="57" t="s">
        <v>191</v>
      </c>
    </row>
    <row r="110" spans="1:5" ht="18" customHeight="1" thickTop="1">
      <c r="A110" s="153" t="str">
        <f>"Robot additional information sub-package("&amp;SUM(D110:D116)&amp;" bytes)"</f>
        <v>Robot additional information sub-package(10 bytes)</v>
      </c>
      <c r="B110" s="41" t="s">
        <v>15</v>
      </c>
      <c r="C110" s="42" t="s">
        <v>192</v>
      </c>
      <c r="D110" s="42">
        <v>4</v>
      </c>
      <c r="E110" s="43" t="s">
        <v>22</v>
      </c>
    </row>
    <row r="111" spans="1:5" ht="18" customHeight="1">
      <c r="A111" s="161"/>
      <c r="B111" s="44" t="s">
        <v>18</v>
      </c>
      <c r="C111" s="45" t="s">
        <v>193</v>
      </c>
      <c r="D111" s="45">
        <v>1</v>
      </c>
      <c r="E111" s="46" t="s">
        <v>194</v>
      </c>
    </row>
    <row r="112" spans="1:5" ht="18" customHeight="1">
      <c r="A112" s="161"/>
      <c r="B112" s="44" t="s">
        <v>28</v>
      </c>
      <c r="C112" s="45" t="s">
        <v>195</v>
      </c>
      <c r="D112" s="45">
        <v>1</v>
      </c>
      <c r="E112" s="46" t="s">
        <v>196</v>
      </c>
    </row>
    <row r="113" spans="1:5" ht="18" customHeight="1">
      <c r="A113" s="161"/>
      <c r="B113" s="44" t="s">
        <v>28</v>
      </c>
      <c r="C113" s="45" t="s">
        <v>29</v>
      </c>
      <c r="D113" s="45">
        <v>1</v>
      </c>
      <c r="E113" s="46" t="s">
        <v>29</v>
      </c>
    </row>
    <row r="114" spans="1:5" ht="18" customHeight="1">
      <c r="A114" s="161"/>
      <c r="B114" s="44" t="s">
        <v>28</v>
      </c>
      <c r="C114" s="45" t="s">
        <v>197</v>
      </c>
      <c r="D114" s="45">
        <v>1</v>
      </c>
      <c r="E114" s="46" t="s">
        <v>198</v>
      </c>
    </row>
    <row r="115" spans="1:5" ht="18" customHeight="1">
      <c r="A115" s="165"/>
      <c r="B115" s="58" t="s">
        <v>28</v>
      </c>
      <c r="C115" s="59" t="s">
        <v>199</v>
      </c>
      <c r="D115" s="59">
        <v>1</v>
      </c>
      <c r="E115" s="60" t="s">
        <v>200</v>
      </c>
    </row>
    <row r="116" spans="1:5" ht="18" customHeight="1" thickBot="1">
      <c r="A116" s="154"/>
      <c r="B116" s="22" t="s">
        <v>18</v>
      </c>
      <c r="C116" s="23" t="s">
        <v>29</v>
      </c>
      <c r="D116" s="23">
        <v>1</v>
      </c>
      <c r="E116" s="24" t="s">
        <v>29</v>
      </c>
    </row>
    <row r="117" spans="1:5" ht="18" customHeight="1" thickTop="1">
      <c r="A117" s="158" t="str">
        <f>"Robot tool data sub-package("&amp;SUM(D117:D127)&amp;" bytes)"</f>
        <v>Robot tool data sub-package(37 bytes)</v>
      </c>
      <c r="B117" s="85" t="s">
        <v>15</v>
      </c>
      <c r="C117" s="86" t="s">
        <v>201</v>
      </c>
      <c r="D117" s="86">
        <v>4</v>
      </c>
      <c r="E117" s="87" t="s">
        <v>22</v>
      </c>
    </row>
    <row r="118" spans="1:5" ht="18" customHeight="1">
      <c r="A118" s="159"/>
      <c r="B118" s="88" t="s">
        <v>18</v>
      </c>
      <c r="C118" s="89" t="s">
        <v>202</v>
      </c>
      <c r="D118" s="89">
        <v>1</v>
      </c>
      <c r="E118" s="90" t="s">
        <v>203</v>
      </c>
    </row>
    <row r="119" spans="1:5" ht="18" customHeight="1">
      <c r="A119" s="159"/>
      <c r="B119" s="88" t="s">
        <v>18</v>
      </c>
      <c r="C119" s="89" t="s">
        <v>166</v>
      </c>
      <c r="D119" s="89">
        <v>1</v>
      </c>
      <c r="E119" s="34" t="s">
        <v>204</v>
      </c>
    </row>
    <row r="120" spans="1:5" ht="18" customHeight="1">
      <c r="A120" s="159"/>
      <c r="B120" s="88" t="s">
        <v>18</v>
      </c>
      <c r="C120" s="89" t="s">
        <v>154</v>
      </c>
      <c r="D120" s="89">
        <v>1</v>
      </c>
      <c r="E120" s="34" t="s">
        <v>205</v>
      </c>
    </row>
    <row r="121" spans="1:5" ht="18" customHeight="1">
      <c r="A121" s="159"/>
      <c r="B121" s="88" t="s">
        <v>44</v>
      </c>
      <c r="C121" s="89" t="s">
        <v>172</v>
      </c>
      <c r="D121" s="89">
        <v>8</v>
      </c>
      <c r="E121" s="90" t="s">
        <v>206</v>
      </c>
    </row>
    <row r="122" spans="1:5" ht="18" customHeight="1">
      <c r="A122" s="159"/>
      <c r="B122" s="88" t="s">
        <v>44</v>
      </c>
      <c r="C122" s="89" t="s">
        <v>160</v>
      </c>
      <c r="D122" s="89">
        <v>8</v>
      </c>
      <c r="E122" s="90" t="s">
        <v>207</v>
      </c>
    </row>
    <row r="123" spans="1:5" ht="18" customHeight="1">
      <c r="A123" s="159"/>
      <c r="B123" s="88" t="s">
        <v>68</v>
      </c>
      <c r="C123" s="89" t="s">
        <v>208</v>
      </c>
      <c r="D123" s="89">
        <v>4</v>
      </c>
      <c r="E123" s="90" t="s">
        <v>209</v>
      </c>
    </row>
    <row r="124" spans="1:5" ht="18" customHeight="1">
      <c r="A124" s="159"/>
      <c r="B124" s="88" t="s">
        <v>18</v>
      </c>
      <c r="C124" s="89" t="s">
        <v>210</v>
      </c>
      <c r="D124" s="89">
        <v>1</v>
      </c>
      <c r="E124" s="34" t="s">
        <v>211</v>
      </c>
    </row>
    <row r="125" spans="1:5" ht="18" customHeight="1">
      <c r="A125" s="159"/>
      <c r="B125" s="88" t="s">
        <v>68</v>
      </c>
      <c r="C125" s="89" t="s">
        <v>212</v>
      </c>
      <c r="D125" s="89">
        <v>4</v>
      </c>
      <c r="E125" s="90" t="s">
        <v>213</v>
      </c>
    </row>
    <row r="126" spans="1:5" ht="18" customHeight="1">
      <c r="A126" s="159"/>
      <c r="B126" s="88" t="s">
        <v>68</v>
      </c>
      <c r="C126" s="89" t="s">
        <v>214</v>
      </c>
      <c r="D126" s="89">
        <v>4</v>
      </c>
      <c r="E126" s="90" t="s">
        <v>215</v>
      </c>
    </row>
    <row r="127" spans="1:5" ht="18" customHeight="1" thickBot="1">
      <c r="A127" s="160"/>
      <c r="B127" s="91" t="s">
        <v>18</v>
      </c>
      <c r="C127" s="92" t="s">
        <v>216</v>
      </c>
      <c r="D127" s="92">
        <v>1</v>
      </c>
      <c r="E127" s="93" t="s">
        <v>217</v>
      </c>
    </row>
    <row r="128" spans="1:5" ht="18" customHeight="1" thickTop="1">
      <c r="A128" s="153" t="str">
        <f>"Robot satety mode sub-package("&amp;SUM(D128:D136)&amp;" bytes)"</f>
        <v>Robot satety mode sub-package(43 bytes)</v>
      </c>
      <c r="B128" s="41" t="s">
        <v>15</v>
      </c>
      <c r="C128" s="42" t="s">
        <v>218</v>
      </c>
      <c r="D128" s="42">
        <v>4</v>
      </c>
      <c r="E128" s="43" t="s">
        <v>22</v>
      </c>
    </row>
    <row r="129" spans="1:5" ht="18" customHeight="1">
      <c r="A129" s="161"/>
      <c r="B129" s="44" t="s">
        <v>18</v>
      </c>
      <c r="C129" s="45" t="s">
        <v>219</v>
      </c>
      <c r="D129" s="45">
        <v>1</v>
      </c>
      <c r="E129" s="46" t="s">
        <v>220</v>
      </c>
    </row>
    <row r="130" spans="1:5" ht="18" customHeight="1">
      <c r="A130" s="161"/>
      <c r="B130" s="44" t="s">
        <v>15</v>
      </c>
      <c r="C130" s="45" t="s">
        <v>221</v>
      </c>
      <c r="D130" s="45">
        <v>4</v>
      </c>
      <c r="E130" s="46" t="s">
        <v>222</v>
      </c>
    </row>
    <row r="131" spans="1:5" ht="18" customHeight="1">
      <c r="A131" s="161"/>
      <c r="B131" s="44" t="s">
        <v>223</v>
      </c>
      <c r="C131" s="45" t="s">
        <v>224</v>
      </c>
      <c r="D131" s="45">
        <v>1</v>
      </c>
      <c r="E131" s="94" t="s">
        <v>225</v>
      </c>
    </row>
    <row r="132" spans="1:5" ht="18" customHeight="1">
      <c r="A132" s="161"/>
      <c r="B132" s="44" t="s">
        <v>18</v>
      </c>
      <c r="C132" s="45" t="s">
        <v>29</v>
      </c>
      <c r="D132" s="45">
        <v>1</v>
      </c>
      <c r="E132" s="46" t="s">
        <v>29</v>
      </c>
    </row>
    <row r="133" spans="1:5" ht="18" customHeight="1">
      <c r="A133" s="161"/>
      <c r="B133" s="44" t="s">
        <v>44</v>
      </c>
      <c r="C133" s="45" t="s">
        <v>226</v>
      </c>
      <c r="D133" s="45">
        <v>8</v>
      </c>
      <c r="E133" s="46" t="s">
        <v>227</v>
      </c>
    </row>
    <row r="134" spans="1:5" ht="18" customHeight="1">
      <c r="A134" s="161"/>
      <c r="B134" s="44" t="s">
        <v>44</v>
      </c>
      <c r="C134" s="45" t="s">
        <v>228</v>
      </c>
      <c r="D134" s="45">
        <v>8</v>
      </c>
      <c r="E134" s="46" t="s">
        <v>229</v>
      </c>
    </row>
    <row r="135" spans="1:5" ht="18" customHeight="1">
      <c r="A135" s="161"/>
      <c r="B135" s="44" t="s">
        <v>44</v>
      </c>
      <c r="C135" s="45" t="s">
        <v>230</v>
      </c>
      <c r="D135" s="45">
        <v>8</v>
      </c>
      <c r="E135" s="46" t="s">
        <v>231</v>
      </c>
    </row>
    <row r="136" spans="1:5" ht="18" customHeight="1" thickBot="1">
      <c r="A136" s="154"/>
      <c r="B136" s="22" t="s">
        <v>44</v>
      </c>
      <c r="C136" s="23" t="s">
        <v>232</v>
      </c>
      <c r="D136" s="23">
        <v>8</v>
      </c>
      <c r="E136" s="24" t="s">
        <v>233</v>
      </c>
    </row>
    <row r="137" spans="1:5" ht="18" customHeight="1" thickTop="1">
      <c r="A137" s="158" t="str">
        <f>"Robot communication sub-package("&amp;SUM(D137:D146)&amp;" bytes)"</f>
        <v>Robot communication sub-package(28 bytes)</v>
      </c>
      <c r="B137" s="85" t="s">
        <v>15</v>
      </c>
      <c r="C137" s="86" t="s">
        <v>234</v>
      </c>
      <c r="D137" s="86">
        <v>4</v>
      </c>
      <c r="E137" s="87" t="s">
        <v>22</v>
      </c>
    </row>
    <row r="138" spans="1:5" ht="18" customHeight="1">
      <c r="A138" s="159"/>
      <c r="B138" s="88" t="s">
        <v>18</v>
      </c>
      <c r="C138" s="89" t="s">
        <v>235</v>
      </c>
      <c r="D138" s="89">
        <v>1</v>
      </c>
      <c r="E138" s="90" t="s">
        <v>236</v>
      </c>
    </row>
    <row r="139" spans="1:5" ht="18" customHeight="1">
      <c r="A139" s="159"/>
      <c r="B139" s="88" t="s">
        <v>28</v>
      </c>
      <c r="C139" s="89" t="s">
        <v>237</v>
      </c>
      <c r="D139" s="89">
        <v>1</v>
      </c>
      <c r="E139" s="90" t="s">
        <v>238</v>
      </c>
    </row>
    <row r="140" spans="1:5" ht="18" customHeight="1">
      <c r="A140" s="159"/>
      <c r="B140" s="88" t="s">
        <v>15</v>
      </c>
      <c r="C140" s="89" t="s">
        <v>239</v>
      </c>
      <c r="D140" s="89">
        <v>4</v>
      </c>
      <c r="E140" s="90" t="s">
        <v>240</v>
      </c>
    </row>
    <row r="141" spans="1:5" ht="18" customHeight="1">
      <c r="A141" s="159"/>
      <c r="B141" s="88" t="s">
        <v>15</v>
      </c>
      <c r="C141" s="89" t="s">
        <v>241</v>
      </c>
      <c r="D141" s="89">
        <v>4</v>
      </c>
      <c r="E141" s="95" t="s">
        <v>242</v>
      </c>
    </row>
    <row r="142" spans="1:5" ht="18" customHeight="1">
      <c r="A142" s="159"/>
      <c r="B142" s="88" t="s">
        <v>15</v>
      </c>
      <c r="C142" s="89" t="s">
        <v>243</v>
      </c>
      <c r="D142" s="89">
        <v>4</v>
      </c>
      <c r="E142" s="95" t="s">
        <v>244</v>
      </c>
    </row>
    <row r="143" spans="1:5" ht="18" customHeight="1">
      <c r="A143" s="159"/>
      <c r="B143" s="88" t="s">
        <v>28</v>
      </c>
      <c r="C143" s="89" t="s">
        <v>245</v>
      </c>
      <c r="D143" s="89">
        <v>1</v>
      </c>
      <c r="E143" s="95" t="s">
        <v>246</v>
      </c>
    </row>
    <row r="144" spans="1:5" ht="18" customHeight="1">
      <c r="A144" s="159"/>
      <c r="B144" s="102" t="s">
        <v>18</v>
      </c>
      <c r="C144" s="103" t="s">
        <v>357</v>
      </c>
      <c r="D144" s="103">
        <v>1</v>
      </c>
      <c r="E144" s="104" t="s">
        <v>358</v>
      </c>
    </row>
    <row r="145" spans="1:5" ht="18" customHeight="1">
      <c r="A145" s="159"/>
      <c r="B145" s="88" t="s">
        <v>68</v>
      </c>
      <c r="C145" s="89" t="s">
        <v>29</v>
      </c>
      <c r="D145" s="89">
        <v>4</v>
      </c>
      <c r="E145" s="90" t="s">
        <v>29</v>
      </c>
    </row>
    <row r="146" spans="1:5" ht="18" customHeight="1" thickBot="1">
      <c r="A146" s="160"/>
      <c r="B146" s="91" t="s">
        <v>68</v>
      </c>
      <c r="C146" s="92" t="s">
        <v>29</v>
      </c>
      <c r="D146" s="92">
        <v>4</v>
      </c>
      <c r="E146" s="96" t="s">
        <v>29</v>
      </c>
    </row>
    <row r="147" spans="1:5" ht="18" customHeight="1" thickTop="1">
      <c r="B147" s="97"/>
      <c r="C147" s="98"/>
      <c r="D147" s="98"/>
    </row>
    <row r="148" spans="1:5" ht="18" customHeight="1" thickBot="1">
      <c r="B148" s="97"/>
      <c r="C148" s="98"/>
      <c r="D148" s="98"/>
    </row>
    <row r="149" spans="1:5" ht="18" customHeight="1" thickTop="1">
      <c r="A149" s="162" t="s">
        <v>390</v>
      </c>
      <c r="B149" s="162"/>
      <c r="C149" s="162"/>
      <c r="D149" s="162"/>
      <c r="E149" s="163"/>
    </row>
    <row r="150" spans="1:5" ht="18" customHeight="1" thickBot="1">
      <c r="A150" s="105"/>
      <c r="B150" s="106" t="s">
        <v>381</v>
      </c>
      <c r="C150" s="106" t="s">
        <v>382</v>
      </c>
      <c r="D150" s="106" t="s">
        <v>383</v>
      </c>
      <c r="E150" s="107" t="s">
        <v>385</v>
      </c>
    </row>
    <row r="151" spans="1:5" ht="18" customHeight="1" thickTop="1">
      <c r="A151" s="153" t="s">
        <v>397</v>
      </c>
      <c r="B151" s="108" t="s">
        <v>360</v>
      </c>
      <c r="C151" s="109" t="s">
        <v>361</v>
      </c>
      <c r="D151" s="109">
        <v>4</v>
      </c>
      <c r="E151" s="43" t="s">
        <v>387</v>
      </c>
    </row>
    <row r="152" spans="1:5" ht="18" customHeight="1" thickBot="1">
      <c r="A152" s="154"/>
      <c r="B152" s="110" t="s">
        <v>362</v>
      </c>
      <c r="C152" s="111" t="s">
        <v>363</v>
      </c>
      <c r="D152" s="111">
        <v>1</v>
      </c>
      <c r="E152" s="24" t="s">
        <v>389</v>
      </c>
    </row>
    <row r="153" spans="1:5" ht="18" customHeight="1" thickTop="1">
      <c r="A153" s="164" t="s">
        <v>399</v>
      </c>
      <c r="B153" s="112" t="s">
        <v>364</v>
      </c>
      <c r="C153" s="113" t="s">
        <v>26</v>
      </c>
      <c r="D153" s="113">
        <v>8</v>
      </c>
      <c r="E153" s="114" t="s">
        <v>392</v>
      </c>
    </row>
    <row r="154" spans="1:5" ht="18" customHeight="1">
      <c r="A154" s="156"/>
      <c r="B154" s="115" t="s">
        <v>362</v>
      </c>
      <c r="C154" s="116" t="s">
        <v>365</v>
      </c>
      <c r="D154" s="116">
        <v>1</v>
      </c>
      <c r="E154" s="117" t="s">
        <v>401</v>
      </c>
    </row>
    <row r="155" spans="1:5" ht="18" customHeight="1">
      <c r="A155" s="156"/>
      <c r="B155" s="115" t="s">
        <v>362</v>
      </c>
      <c r="C155" s="116" t="s">
        <v>366</v>
      </c>
      <c r="D155" s="116">
        <v>1</v>
      </c>
      <c r="E155" s="117" t="s">
        <v>403</v>
      </c>
    </row>
    <row r="156" spans="1:5" ht="18" customHeight="1">
      <c r="A156" s="156"/>
      <c r="B156" s="115" t="s">
        <v>367</v>
      </c>
      <c r="C156" s="116" t="s">
        <v>368</v>
      </c>
      <c r="D156" s="116">
        <v>4</v>
      </c>
      <c r="E156" s="117" t="s">
        <v>393</v>
      </c>
    </row>
    <row r="157" spans="1:5" ht="18" customHeight="1">
      <c r="A157" s="156"/>
      <c r="B157" s="115" t="s">
        <v>367</v>
      </c>
      <c r="C157" s="116" t="s">
        <v>369</v>
      </c>
      <c r="D157" s="116">
        <v>4</v>
      </c>
      <c r="E157" s="117" t="s">
        <v>394</v>
      </c>
    </row>
    <row r="158" spans="1:5" ht="18" customHeight="1" thickBot="1">
      <c r="A158" s="157"/>
      <c r="B158" s="118" t="s">
        <v>370</v>
      </c>
      <c r="C158" s="119" t="s">
        <v>371</v>
      </c>
      <c r="D158" s="119" t="s">
        <v>372</v>
      </c>
      <c r="E158" s="120" t="s">
        <v>395</v>
      </c>
    </row>
    <row r="159" spans="1:5" ht="18" customHeight="1" thickTop="1">
      <c r="A159" s="121"/>
      <c r="B159" s="122"/>
      <c r="C159" s="123"/>
      <c r="D159" s="123"/>
      <c r="E159" s="124"/>
    </row>
    <row r="160" spans="1:5" ht="18" customHeight="1" thickBot="1">
      <c r="A160" s="121"/>
      <c r="B160" s="122"/>
      <c r="C160" s="123"/>
      <c r="D160" s="123"/>
      <c r="E160" s="124"/>
    </row>
    <row r="161" spans="1:5" ht="18" customHeight="1" thickTop="1">
      <c r="A161" s="150" t="s">
        <v>396</v>
      </c>
      <c r="B161" s="151"/>
      <c r="C161" s="151"/>
      <c r="D161" s="151"/>
      <c r="E161" s="152"/>
    </row>
    <row r="162" spans="1:5" s="133" customFormat="1" ht="18" customHeight="1" thickBot="1">
      <c r="A162" s="131"/>
      <c r="B162" s="130" t="s">
        <v>381</v>
      </c>
      <c r="C162" s="130" t="s">
        <v>382</v>
      </c>
      <c r="D162" s="130" t="s">
        <v>383</v>
      </c>
      <c r="E162" s="132" t="s">
        <v>385</v>
      </c>
    </row>
    <row r="163" spans="1:5" ht="18" customHeight="1" thickTop="1">
      <c r="A163" s="153" t="s">
        <v>397</v>
      </c>
      <c r="B163" s="108" t="s">
        <v>360</v>
      </c>
      <c r="C163" s="109" t="s">
        <v>361</v>
      </c>
      <c r="D163" s="109">
        <v>4</v>
      </c>
      <c r="E163" s="43" t="s">
        <v>387</v>
      </c>
    </row>
    <row r="164" spans="1:5" ht="18" customHeight="1" thickBot="1">
      <c r="A164" s="154"/>
      <c r="B164" s="110" t="s">
        <v>362</v>
      </c>
      <c r="C164" s="111" t="s">
        <v>363</v>
      </c>
      <c r="D164" s="111">
        <v>1</v>
      </c>
      <c r="E164" s="24" t="s">
        <v>389</v>
      </c>
    </row>
    <row r="165" spans="1:5" ht="18" customHeight="1" thickTop="1">
      <c r="A165" s="155" t="s">
        <v>399</v>
      </c>
      <c r="B165" s="125" t="s">
        <v>364</v>
      </c>
      <c r="C165" s="126" t="s">
        <v>26</v>
      </c>
      <c r="D165" s="126">
        <v>8</v>
      </c>
      <c r="E165" s="127" t="s">
        <v>392</v>
      </c>
    </row>
    <row r="166" spans="1:5" ht="18" customHeight="1">
      <c r="A166" s="156"/>
      <c r="B166" s="115" t="s">
        <v>362</v>
      </c>
      <c r="C166" s="116" t="s">
        <v>365</v>
      </c>
      <c r="D166" s="116">
        <v>1</v>
      </c>
      <c r="E166" s="128" t="s">
        <v>400</v>
      </c>
    </row>
    <row r="167" spans="1:5" ht="18" customHeight="1">
      <c r="A167" s="156"/>
      <c r="B167" s="115" t="s">
        <v>362</v>
      </c>
      <c r="C167" s="116" t="s">
        <v>373</v>
      </c>
      <c r="D167" s="116">
        <v>1</v>
      </c>
      <c r="E167" s="117" t="s">
        <v>402</v>
      </c>
    </row>
    <row r="168" spans="1:5" ht="18" customHeight="1">
      <c r="A168" s="156"/>
      <c r="B168" s="115" t="s">
        <v>367</v>
      </c>
      <c r="C168" s="116" t="s">
        <v>374</v>
      </c>
      <c r="D168" s="116">
        <v>4</v>
      </c>
      <c r="E168" s="128" t="s">
        <v>404</v>
      </c>
    </row>
    <row r="169" spans="1:5" ht="18" customHeight="1">
      <c r="A169" s="156"/>
      <c r="B169" s="115" t="s">
        <v>367</v>
      </c>
      <c r="C169" s="116" t="s">
        <v>375</v>
      </c>
      <c r="D169" s="116">
        <v>4</v>
      </c>
      <c r="E169" s="128" t="s">
        <v>427</v>
      </c>
    </row>
    <row r="170" spans="1:5" ht="18" customHeight="1">
      <c r="A170" s="156"/>
      <c r="B170" s="115" t="s">
        <v>367</v>
      </c>
      <c r="C170" s="116" t="s">
        <v>376</v>
      </c>
      <c r="D170" s="116">
        <v>4</v>
      </c>
      <c r="E170" s="128" t="s">
        <v>405</v>
      </c>
    </row>
    <row r="171" spans="1:5" ht="18" customHeight="1">
      <c r="A171" s="156"/>
      <c r="B171" s="115" t="s">
        <v>377</v>
      </c>
      <c r="C171" s="116" t="s">
        <v>378</v>
      </c>
      <c r="D171" s="116">
        <v>4</v>
      </c>
      <c r="E171" s="128" t="s">
        <v>406</v>
      </c>
    </row>
    <row r="172" spans="1:5" ht="18" customHeight="1" thickBot="1">
      <c r="A172" s="157"/>
      <c r="B172" s="118" t="s">
        <v>379</v>
      </c>
      <c r="C172" s="119" t="s">
        <v>380</v>
      </c>
      <c r="D172" s="119" t="s">
        <v>372</v>
      </c>
      <c r="E172" s="120" t="s">
        <v>407</v>
      </c>
    </row>
    <row r="173" spans="1:5" ht="18" customHeight="1" thickTop="1"/>
  </sheetData>
  <mergeCells count="31">
    <mergeCell ref="A165:A172"/>
    <mergeCell ref="A117:A127"/>
    <mergeCell ref="A128:A136"/>
    <mergeCell ref="A137:A146"/>
    <mergeCell ref="B75:E75"/>
    <mergeCell ref="B77:E77"/>
    <mergeCell ref="B78:E78"/>
    <mergeCell ref="B80:E80"/>
    <mergeCell ref="A85:A109"/>
    <mergeCell ref="A110:A116"/>
    <mergeCell ref="A149:E149"/>
    <mergeCell ref="A151:A152"/>
    <mergeCell ref="A153:A158"/>
    <mergeCell ref="A161:E161"/>
    <mergeCell ref="A163:A164"/>
    <mergeCell ref="A40:A53"/>
    <mergeCell ref="A54:A84"/>
    <mergeCell ref="B56:E56"/>
    <mergeCell ref="B59:E59"/>
    <mergeCell ref="B60:E60"/>
    <mergeCell ref="B63:E63"/>
    <mergeCell ref="B69:E69"/>
    <mergeCell ref="B71:E71"/>
    <mergeCell ref="B72:E72"/>
    <mergeCell ref="B74:E74"/>
    <mergeCell ref="A1:E1"/>
    <mergeCell ref="A3:A4"/>
    <mergeCell ref="A5:A23"/>
    <mergeCell ref="A24:A39"/>
    <mergeCell ref="B26:E26"/>
    <mergeCell ref="B39:E39"/>
  </mergeCells>
  <phoneticPr fontId="17" type="noConversion"/>
  <hyperlinks>
    <hyperlink ref="E15" location="ROBOT_MODE!A1" display="Robot mode: Details ROBOT_MODE" xr:uid="{2C333017-24CD-4A8C-9B53-1A4A26C4BDCB}"/>
    <hyperlink ref="E16" location="ROBOT_CONTROL_MODE!A1" display="Robot control mode: Details ROBOT_CONTROL_MODE" xr:uid="{A6C5C2D1-53AF-42F2-B14B-D9460065EE4D}"/>
    <hyperlink ref="E37" location="JOINT_AND_TOOL_MODE!A1" display="Joint mode. Details: JOINT_AND_TOOL_MODE" xr:uid="{140822E3-4803-4C3A-9AE6-B7016C603489}"/>
    <hyperlink ref="E83" location="ROBOT_TYPE!A1" display="Robot Type. Details: ROBOT_TYPE" xr:uid="{020BC72C-1FB6-49F7-8EF3-CADC0DFAE89F}"/>
    <hyperlink ref="E84" location="ROBOT_STRUCTURE_TYPE!A1" display="Robot structure type. Details: ROBOT_STRUCTURE_TYPE" xr:uid="{0842D1C7-38F6-480F-9D50-87E9A54334AE}"/>
    <hyperlink ref="E89:E90" location="ANALOG_DOMAIN!A1" display="Analog input IO0 configure, Details: ANALOG_DOMAIN" xr:uid="{F67BF529-44EE-4C4B-BEBE-0AC74700493F}"/>
    <hyperlink ref="E91" location="ANALOG_DOMAIN!A1" display="Tool analog IO configure, Details: ANALOG_DOMAIN" xr:uid="{F542BF0A-0C50-4374-99CE-279D4C247628}"/>
    <hyperlink ref="E95:E96" location="ANALOG_DOMAIN!A1" display="Analog output IO0 configure. Details: ANALOG_DOMAIN" xr:uid="{F9450437-DAA2-4242-8EFB-4838C08724FF}"/>
    <hyperlink ref="E97" location="ANALOG_DOMAIN!A1" display="Tool analog output io configure. Details: ANALOG_DOMAIN" xr:uid="{5731237B-EEC3-4709-B605-72CED7FD61B8}"/>
    <hyperlink ref="E105" location="SAFETY_MODE!A1" display="Motherboard aggregated mode. Details: SAFETY_MODE" xr:uid="{1E102E7E-EF1A-4AB8-A286-6A3F4C0DD8C3}"/>
    <hyperlink ref="E127" location="JOINT_AND_TOOL_MODE!A1" display="Tool mode. Details: JOINT_AND_TOOL_MODE" xr:uid="{3076FA79-D61F-4CE3-8583-54042CF81AE2}"/>
    <hyperlink ref="E119" location="ANALOG_DOMAIN!A1" display="Tool analog IO output configure. Details: ANALOG_DOMAIN" xr:uid="{D3B92959-CEF0-4FE6-80B2-A7CF4B0B84DA}"/>
    <hyperlink ref="E120" location="ANALOG_DOMAIN!A1" display="Tool analog IO input configure. Details: ANALOG_DOMAIN" xr:uid="{1BA07710-DECD-4533-8858-30A40BC65F76}"/>
    <hyperlink ref="E124" location="TOOL_OUTPUT_VOLTAGE!A1" display="Tool output voltage. Details: TOOL_OUTPUT_VOLTAGE" xr:uid="{E7BCFDDA-4A5A-47F6-BA78-DF13A531D566}"/>
    <hyperlink ref="A1:E1" location="报文格式!A1" display="Robot's State Package（Format: Package Format）" xr:uid="{773FAED3-4B42-45CE-9D07-957986F855B4}"/>
    <hyperlink ref="E131" location="SAFETY_OPERATIONAL_MODE!A1" display="Robot safety operation mode. Deltails: SAFETY_OPERATIONAL_MODE" xr:uid="{9758FDBD-FCEC-4608-BE73-7EC3E6E0414A}"/>
    <hyperlink ref="E109" location="SAFETY_MODE!A1" display="Motherboard mode. Details: SAFETY_MODE" xr:uid="{4758ED86-825B-440F-9A3B-841F456D3CD4}"/>
    <hyperlink ref="E20" location="ROBOT_SPEED_MODE!A1" display="Robot speed mode, Details: ROBOT_SPEED_MODE" xr:uid="{3C665459-6880-4FCE-AAA8-F12300B58C45}"/>
    <hyperlink ref="E168" location="'Exception code'!A1" display="Exception code" xr:uid="{36DE87C9-C11F-46EC-BA1A-6C27276E8615}"/>
    <hyperlink ref="E169" location="'Exception code'!A1" display="Exception sub-code" xr:uid="{C67AD19E-E0C8-4E2F-9BA1-2F68E6499302}"/>
    <hyperlink ref="E166" location="'Exception Source'!A1" display="Exception source" xr:uid="{4468FCA7-33C7-4857-91AE-B3602F0EB4D0}"/>
    <hyperlink ref="E170" location="'Exception Level'!A1" display="Exception level" xr:uid="{35BBBE84-1D51-453F-B20D-DA87E3D6CC8C}"/>
    <hyperlink ref="E171" location="ExceptionDataType!A1" display="Data type of exception" xr:uid="{DFA26FC8-E28D-4670-AB83-BC714BC484C7}"/>
  </hyperlink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9"/>
  <sheetViews>
    <sheetView topLeftCell="B121" workbookViewId="0">
      <selection activeCell="C151" sqref="C151"/>
    </sheetView>
  </sheetViews>
  <sheetFormatPr defaultColWidth="8.875" defaultRowHeight="18" customHeight="1"/>
  <cols>
    <col min="1" max="1" width="50.375" style="4" customWidth="1"/>
    <col min="2" max="2" width="15.875" style="12" customWidth="1"/>
    <col min="3" max="3" width="49.625" style="13" customWidth="1"/>
    <col min="4" max="4" width="20.375" style="13" customWidth="1"/>
    <col min="5" max="5" width="111.625" style="14" customWidth="1"/>
    <col min="6" max="16384" width="8.875" style="4"/>
  </cols>
  <sheetData>
    <row r="1" spans="1:5" s="1" customFormat="1" ht="18" customHeight="1">
      <c r="A1" s="174" t="s">
        <v>10</v>
      </c>
      <c r="B1" s="175"/>
      <c r="C1" s="175"/>
      <c r="D1" s="175"/>
      <c r="E1" s="176"/>
    </row>
    <row r="2" spans="1:5" ht="18" customHeight="1">
      <c r="A2" s="15"/>
      <c r="B2" s="16" t="s">
        <v>11</v>
      </c>
      <c r="C2" s="17" t="s">
        <v>12</v>
      </c>
      <c r="D2" s="17" t="s">
        <v>13</v>
      </c>
      <c r="E2" s="18" t="s">
        <v>2</v>
      </c>
    </row>
    <row r="3" spans="1:5" ht="18" customHeight="1">
      <c r="A3" s="177" t="s">
        <v>14</v>
      </c>
      <c r="B3" s="19" t="s">
        <v>15</v>
      </c>
      <c r="C3" s="20" t="s">
        <v>16</v>
      </c>
      <c r="D3" s="20">
        <v>4</v>
      </c>
      <c r="E3" s="21" t="s">
        <v>17</v>
      </c>
    </row>
    <row r="4" spans="1:5" ht="18" customHeight="1">
      <c r="A4" s="154"/>
      <c r="B4" s="22" t="s">
        <v>18</v>
      </c>
      <c r="C4" s="23" t="s">
        <v>19</v>
      </c>
      <c r="D4" s="23">
        <v>1</v>
      </c>
      <c r="E4" s="24" t="s">
        <v>20</v>
      </c>
    </row>
    <row r="5" spans="1:5" ht="18" customHeight="1">
      <c r="A5" s="178" t="str">
        <f>"Robot mode sub-package("&amp;SUM(D5:D23)&amp;" bytes)"</f>
        <v>Robot mode sub-package(53 bytes)</v>
      </c>
      <c r="B5" s="25" t="s">
        <v>15</v>
      </c>
      <c r="C5" s="26" t="s">
        <v>21</v>
      </c>
      <c r="D5" s="26">
        <v>4</v>
      </c>
      <c r="E5" s="27" t="s">
        <v>22</v>
      </c>
    </row>
    <row r="6" spans="1:5" ht="18" customHeight="1">
      <c r="A6" s="179"/>
      <c r="B6" s="28" t="s">
        <v>18</v>
      </c>
      <c r="C6" s="29" t="s">
        <v>23</v>
      </c>
      <c r="D6" s="29">
        <v>1</v>
      </c>
      <c r="E6" s="30" t="s">
        <v>24</v>
      </c>
    </row>
    <row r="7" spans="1:5" ht="18" customHeight="1">
      <c r="A7" s="179"/>
      <c r="B7" s="28" t="s">
        <v>25</v>
      </c>
      <c r="C7" s="29" t="s">
        <v>26</v>
      </c>
      <c r="D7" s="29">
        <v>8</v>
      </c>
      <c r="E7" s="30" t="s">
        <v>27</v>
      </c>
    </row>
    <row r="8" spans="1:5" ht="18" customHeight="1">
      <c r="A8" s="179"/>
      <c r="B8" s="28" t="s">
        <v>28</v>
      </c>
      <c r="C8" s="29" t="s">
        <v>29</v>
      </c>
      <c r="D8" s="29">
        <v>1</v>
      </c>
      <c r="E8" s="30" t="s">
        <v>29</v>
      </c>
    </row>
    <row r="9" spans="1:5" ht="18" customHeight="1">
      <c r="A9" s="179"/>
      <c r="B9" s="28" t="s">
        <v>28</v>
      </c>
      <c r="C9" s="29" t="s">
        <v>29</v>
      </c>
      <c r="D9" s="29">
        <v>1</v>
      </c>
      <c r="E9" s="30" t="s">
        <v>29</v>
      </c>
    </row>
    <row r="10" spans="1:5" ht="18" customHeight="1">
      <c r="A10" s="179"/>
      <c r="B10" s="28" t="s">
        <v>28</v>
      </c>
      <c r="C10" s="29" t="s">
        <v>30</v>
      </c>
      <c r="D10" s="29">
        <v>1</v>
      </c>
      <c r="E10" s="30" t="s">
        <v>31</v>
      </c>
    </row>
    <row r="11" spans="1:5" ht="18" customHeight="1">
      <c r="A11" s="179"/>
      <c r="B11" s="28" t="s">
        <v>28</v>
      </c>
      <c r="C11" s="29" t="s">
        <v>32</v>
      </c>
      <c r="D11" s="29">
        <v>1</v>
      </c>
      <c r="E11" s="30" t="s">
        <v>33</v>
      </c>
    </row>
    <row r="12" spans="1:5" ht="18" customHeight="1">
      <c r="A12" s="179"/>
      <c r="B12" s="28" t="s">
        <v>28</v>
      </c>
      <c r="C12" s="29" t="s">
        <v>34</v>
      </c>
      <c r="D12" s="29">
        <v>1</v>
      </c>
      <c r="E12" s="30" t="s">
        <v>35</v>
      </c>
    </row>
    <row r="13" spans="1:5" ht="18" customHeight="1">
      <c r="A13" s="179"/>
      <c r="B13" s="28" t="s">
        <v>28</v>
      </c>
      <c r="C13" s="29" t="s">
        <v>36</v>
      </c>
      <c r="D13" s="29">
        <v>1</v>
      </c>
      <c r="E13" s="30" t="s">
        <v>37</v>
      </c>
    </row>
    <row r="14" spans="1:5" ht="18" customHeight="1">
      <c r="A14" s="179"/>
      <c r="B14" s="28" t="s">
        <v>28</v>
      </c>
      <c r="C14" s="29" t="s">
        <v>38</v>
      </c>
      <c r="D14" s="29">
        <v>1</v>
      </c>
      <c r="E14" s="30" t="s">
        <v>39</v>
      </c>
    </row>
    <row r="15" spans="1:5" ht="18" customHeight="1">
      <c r="A15" s="179"/>
      <c r="B15" s="28" t="s">
        <v>18</v>
      </c>
      <c r="C15" s="29" t="s">
        <v>40</v>
      </c>
      <c r="D15" s="29">
        <v>1</v>
      </c>
      <c r="E15" s="31" t="s">
        <v>41</v>
      </c>
    </row>
    <row r="16" spans="1:5" ht="18" customHeight="1">
      <c r="A16" s="179"/>
      <c r="B16" s="28" t="s">
        <v>18</v>
      </c>
      <c r="C16" s="29" t="s">
        <v>42</v>
      </c>
      <c r="D16" s="29">
        <v>1</v>
      </c>
      <c r="E16" s="31" t="s">
        <v>43</v>
      </c>
    </row>
    <row r="17" spans="1:5" ht="18" customHeight="1">
      <c r="A17" s="179"/>
      <c r="B17" s="28" t="s">
        <v>44</v>
      </c>
      <c r="C17" s="29" t="s">
        <v>45</v>
      </c>
      <c r="D17" s="29">
        <v>8</v>
      </c>
      <c r="E17" s="30" t="s">
        <v>46</v>
      </c>
    </row>
    <row r="18" spans="1:5" ht="18" customHeight="1">
      <c r="A18" s="179"/>
      <c r="B18" s="28" t="s">
        <v>44</v>
      </c>
      <c r="C18" s="29" t="s">
        <v>47</v>
      </c>
      <c r="D18" s="29">
        <v>8</v>
      </c>
      <c r="E18" s="30" t="s">
        <v>48</v>
      </c>
    </row>
    <row r="19" spans="1:5" ht="18" customHeight="1">
      <c r="A19" s="179"/>
      <c r="B19" s="28" t="s">
        <v>44</v>
      </c>
      <c r="C19" s="29" t="s">
        <v>49</v>
      </c>
      <c r="D19" s="29">
        <v>8</v>
      </c>
      <c r="E19" s="30" t="s">
        <v>50</v>
      </c>
    </row>
    <row r="20" spans="1:5" ht="18" customHeight="1">
      <c r="A20" s="179"/>
      <c r="B20" s="32" t="s">
        <v>18</v>
      </c>
      <c r="C20" s="33" t="s">
        <v>51</v>
      </c>
      <c r="D20" s="33">
        <v>1</v>
      </c>
      <c r="E20" s="34" t="s">
        <v>52</v>
      </c>
    </row>
    <row r="21" spans="1:5" ht="18" customHeight="1">
      <c r="A21" s="179"/>
      <c r="B21" s="35" t="s">
        <v>28</v>
      </c>
      <c r="C21" s="36" t="s">
        <v>53</v>
      </c>
      <c r="D21" s="36">
        <v>1</v>
      </c>
      <c r="E21" s="37" t="s">
        <v>54</v>
      </c>
    </row>
    <row r="22" spans="1:5" ht="18" customHeight="1">
      <c r="A22" s="179"/>
      <c r="B22" s="35" t="s">
        <v>28</v>
      </c>
      <c r="C22" s="36" t="s">
        <v>55</v>
      </c>
      <c r="D22" s="36">
        <v>1</v>
      </c>
      <c r="E22" s="37" t="s">
        <v>56</v>
      </c>
    </row>
    <row r="23" spans="1:5" ht="18" customHeight="1">
      <c r="A23" s="180"/>
      <c r="B23" s="38" t="s">
        <v>15</v>
      </c>
      <c r="C23" s="39" t="s">
        <v>29</v>
      </c>
      <c r="D23" s="39">
        <v>4</v>
      </c>
      <c r="E23" s="40" t="s">
        <v>29</v>
      </c>
    </row>
    <row r="24" spans="1:5" ht="18" customHeight="1">
      <c r="A24" s="181" t="str">
        <f>"Joint sub-package("&amp;SUM(D24:D25)+SUM(D27:D38)*6&amp;" bytes)"</f>
        <v>Joint sub-package(347 bytes)</v>
      </c>
      <c r="B24" s="41" t="s">
        <v>15</v>
      </c>
      <c r="C24" s="42" t="s">
        <v>57</v>
      </c>
      <c r="D24" s="42">
        <v>4</v>
      </c>
      <c r="E24" s="43" t="s">
        <v>22</v>
      </c>
    </row>
    <row r="25" spans="1:5" ht="18" customHeight="1">
      <c r="A25" s="182"/>
      <c r="B25" s="44" t="s">
        <v>18</v>
      </c>
      <c r="C25" s="45" t="s">
        <v>58</v>
      </c>
      <c r="D25" s="45">
        <v>1</v>
      </c>
      <c r="E25" s="46" t="s">
        <v>59</v>
      </c>
    </row>
    <row r="26" spans="1:5" ht="18" customHeight="1">
      <c r="A26" s="182"/>
      <c r="B26" s="169" t="s">
        <v>60</v>
      </c>
      <c r="C26" s="170"/>
      <c r="D26" s="170"/>
      <c r="E26" s="171"/>
    </row>
    <row r="27" spans="1:5" ht="18" customHeight="1">
      <c r="A27" s="182"/>
      <c r="B27" s="47" t="s">
        <v>44</v>
      </c>
      <c r="C27" s="45" t="s">
        <v>61</v>
      </c>
      <c r="D27" s="45">
        <v>8</v>
      </c>
      <c r="E27" s="46" t="s">
        <v>62</v>
      </c>
    </row>
    <row r="28" spans="1:5" ht="18" customHeight="1">
      <c r="A28" s="182"/>
      <c r="B28" s="47" t="s">
        <v>44</v>
      </c>
      <c r="C28" s="45" t="s">
        <v>63</v>
      </c>
      <c r="D28" s="45">
        <v>8</v>
      </c>
      <c r="E28" s="46" t="s">
        <v>64</v>
      </c>
    </row>
    <row r="29" spans="1:5" ht="18" customHeight="1">
      <c r="A29" s="182"/>
      <c r="B29" s="47" t="s">
        <v>44</v>
      </c>
      <c r="C29" s="45" t="s">
        <v>65</v>
      </c>
      <c r="D29" s="45">
        <v>8</v>
      </c>
      <c r="E29" s="46" t="s">
        <v>66</v>
      </c>
    </row>
    <row r="30" spans="1:5" ht="18" customHeight="1">
      <c r="A30" s="182"/>
      <c r="B30" s="47" t="s">
        <v>67</v>
      </c>
      <c r="C30" s="45" t="s">
        <v>29</v>
      </c>
      <c r="D30" s="45">
        <v>4</v>
      </c>
      <c r="E30" s="46" t="s">
        <v>29</v>
      </c>
    </row>
    <row r="31" spans="1:5" ht="18" customHeight="1">
      <c r="A31" s="182"/>
      <c r="B31" s="47" t="s">
        <v>67</v>
      </c>
      <c r="C31" s="45" t="s">
        <v>29</v>
      </c>
      <c r="D31" s="45">
        <v>4</v>
      </c>
      <c r="E31" s="46" t="s">
        <v>29</v>
      </c>
    </row>
    <row r="32" spans="1:5" ht="18" customHeight="1">
      <c r="A32" s="182"/>
      <c r="B32" s="47" t="s">
        <v>67</v>
      </c>
      <c r="C32" s="45" t="s">
        <v>29</v>
      </c>
      <c r="D32" s="45">
        <v>4</v>
      </c>
      <c r="E32" s="46" t="s">
        <v>29</v>
      </c>
    </row>
    <row r="33" spans="1:5" ht="18" customHeight="1">
      <c r="A33" s="182"/>
      <c r="B33" s="47" t="s">
        <v>68</v>
      </c>
      <c r="C33" s="45" t="s">
        <v>69</v>
      </c>
      <c r="D33" s="45">
        <v>4</v>
      </c>
      <c r="E33" s="46" t="s">
        <v>70</v>
      </c>
    </row>
    <row r="34" spans="1:5" ht="18" customHeight="1">
      <c r="A34" s="182"/>
      <c r="B34" s="47" t="s">
        <v>68</v>
      </c>
      <c r="C34" s="45" t="s">
        <v>71</v>
      </c>
      <c r="D34" s="45">
        <v>4</v>
      </c>
      <c r="E34" s="46" t="s">
        <v>72</v>
      </c>
    </row>
    <row r="35" spans="1:5" ht="18" customHeight="1">
      <c r="A35" s="182"/>
      <c r="B35" s="47" t="s">
        <v>68</v>
      </c>
      <c r="C35" s="45" t="s">
        <v>73</v>
      </c>
      <c r="D35" s="45">
        <v>4</v>
      </c>
      <c r="E35" s="46" t="s">
        <v>74</v>
      </c>
    </row>
    <row r="36" spans="1:5" ht="18" customHeight="1">
      <c r="A36" s="182"/>
      <c r="B36" s="47" t="s">
        <v>68</v>
      </c>
      <c r="C36" s="45" t="s">
        <v>75</v>
      </c>
      <c r="D36" s="45">
        <v>4</v>
      </c>
      <c r="E36" s="46" t="s">
        <v>76</v>
      </c>
    </row>
    <row r="37" spans="1:5" ht="18" customHeight="1">
      <c r="A37" s="182"/>
      <c r="B37" s="47" t="s">
        <v>18</v>
      </c>
      <c r="C37" s="45" t="s">
        <v>77</v>
      </c>
      <c r="D37" s="45">
        <v>1</v>
      </c>
      <c r="E37" s="48" t="s">
        <v>78</v>
      </c>
    </row>
    <row r="38" spans="1:5" ht="18" customHeight="1">
      <c r="A38" s="182"/>
      <c r="B38" s="47" t="s">
        <v>15</v>
      </c>
      <c r="C38" s="45" t="s">
        <v>29</v>
      </c>
      <c r="D38" s="45">
        <v>4</v>
      </c>
      <c r="E38" s="46" t="s">
        <v>29</v>
      </c>
    </row>
    <row r="39" spans="1:5" ht="18" customHeight="1">
      <c r="A39" s="183"/>
      <c r="B39" s="184" t="s">
        <v>80</v>
      </c>
      <c r="C39" s="185"/>
      <c r="D39" s="185"/>
      <c r="E39" s="186"/>
    </row>
    <row r="40" spans="1:5" ht="18" customHeight="1">
      <c r="A40" s="166" t="str">
        <f>"Cartesian sub-package("&amp;SUM(D40:D53)&amp;" bytes)"</f>
        <v>Cartesian sub-package(101 bytes)</v>
      </c>
      <c r="B40" s="49" t="s">
        <v>15</v>
      </c>
      <c r="C40" s="50" t="s">
        <v>81</v>
      </c>
      <c r="D40" s="50">
        <v>4</v>
      </c>
      <c r="E40" s="51" t="s">
        <v>22</v>
      </c>
    </row>
    <row r="41" spans="1:5" ht="18" customHeight="1">
      <c r="A41" s="167"/>
      <c r="B41" s="28" t="s">
        <v>18</v>
      </c>
      <c r="C41" s="29" t="s">
        <v>82</v>
      </c>
      <c r="D41" s="29">
        <v>1</v>
      </c>
      <c r="E41" s="30" t="s">
        <v>83</v>
      </c>
    </row>
    <row r="42" spans="1:5" ht="18" customHeight="1">
      <c r="A42" s="167"/>
      <c r="B42" s="28" t="s">
        <v>44</v>
      </c>
      <c r="C42" s="29" t="s">
        <v>84</v>
      </c>
      <c r="D42" s="29">
        <v>8</v>
      </c>
      <c r="E42" s="30" t="s">
        <v>85</v>
      </c>
    </row>
    <row r="43" spans="1:5" ht="18" customHeight="1">
      <c r="A43" s="167"/>
      <c r="B43" s="28" t="s">
        <v>44</v>
      </c>
      <c r="C43" s="29" t="s">
        <v>86</v>
      </c>
      <c r="D43" s="29">
        <v>8</v>
      </c>
      <c r="E43" s="30" t="s">
        <v>87</v>
      </c>
    </row>
    <row r="44" spans="1:5" ht="18" customHeight="1">
      <c r="A44" s="167"/>
      <c r="B44" s="28" t="s">
        <v>44</v>
      </c>
      <c r="C44" s="29" t="s">
        <v>88</v>
      </c>
      <c r="D44" s="29">
        <v>8</v>
      </c>
      <c r="E44" s="30" t="s">
        <v>89</v>
      </c>
    </row>
    <row r="45" spans="1:5" ht="18" customHeight="1">
      <c r="A45" s="167"/>
      <c r="B45" s="28" t="s">
        <v>44</v>
      </c>
      <c r="C45" s="29" t="s">
        <v>90</v>
      </c>
      <c r="D45" s="29">
        <v>8</v>
      </c>
      <c r="E45" s="30" t="s">
        <v>91</v>
      </c>
    </row>
    <row r="46" spans="1:5" ht="18" customHeight="1">
      <c r="A46" s="167"/>
      <c r="B46" s="28" t="s">
        <v>44</v>
      </c>
      <c r="C46" s="29" t="s">
        <v>92</v>
      </c>
      <c r="D46" s="29">
        <v>8</v>
      </c>
      <c r="E46" s="30" t="s">
        <v>93</v>
      </c>
    </row>
    <row r="47" spans="1:5" ht="18" customHeight="1">
      <c r="A47" s="167"/>
      <c r="B47" s="28" t="s">
        <v>44</v>
      </c>
      <c r="C47" s="29" t="s">
        <v>94</v>
      </c>
      <c r="D47" s="29">
        <v>8</v>
      </c>
      <c r="E47" s="30" t="s">
        <v>95</v>
      </c>
    </row>
    <row r="48" spans="1:5" ht="18" customHeight="1">
      <c r="A48" s="167"/>
      <c r="B48" s="28" t="s">
        <v>44</v>
      </c>
      <c r="C48" s="29" t="s">
        <v>96</v>
      </c>
      <c r="D48" s="29">
        <v>8</v>
      </c>
      <c r="E48" s="30" t="s">
        <v>97</v>
      </c>
    </row>
    <row r="49" spans="1:5" ht="18" customHeight="1">
      <c r="A49" s="167"/>
      <c r="B49" s="28" t="s">
        <v>44</v>
      </c>
      <c r="C49" s="29" t="s">
        <v>98</v>
      </c>
      <c r="D49" s="29">
        <v>8</v>
      </c>
      <c r="E49" s="30" t="s">
        <v>99</v>
      </c>
    </row>
    <row r="50" spans="1:5" ht="18" customHeight="1">
      <c r="A50" s="167"/>
      <c r="B50" s="28" t="s">
        <v>44</v>
      </c>
      <c r="C50" s="29" t="s">
        <v>100</v>
      </c>
      <c r="D50" s="29">
        <v>8</v>
      </c>
      <c r="E50" s="30" t="s">
        <v>101</v>
      </c>
    </row>
    <row r="51" spans="1:5" ht="18" customHeight="1">
      <c r="A51" s="167"/>
      <c r="B51" s="28" t="s">
        <v>44</v>
      </c>
      <c r="C51" s="29" t="s">
        <v>102</v>
      </c>
      <c r="D51" s="29">
        <v>8</v>
      </c>
      <c r="E51" s="30" t="s">
        <v>103</v>
      </c>
    </row>
    <row r="52" spans="1:5" ht="18" customHeight="1">
      <c r="A52" s="167"/>
      <c r="B52" s="28" t="s">
        <v>44</v>
      </c>
      <c r="C52" s="29" t="s">
        <v>104</v>
      </c>
      <c r="D52" s="29">
        <v>8</v>
      </c>
      <c r="E52" s="30" t="s">
        <v>105</v>
      </c>
    </row>
    <row r="53" spans="1:5" ht="18" customHeight="1">
      <c r="A53" s="168"/>
      <c r="B53" s="52" t="s">
        <v>44</v>
      </c>
      <c r="C53" s="53" t="s">
        <v>106</v>
      </c>
      <c r="D53" s="29">
        <v>8</v>
      </c>
      <c r="E53" s="54" t="s">
        <v>107</v>
      </c>
    </row>
    <row r="54" spans="1:5" ht="18" customHeight="1">
      <c r="A54" s="153" t="str">
        <f>"Robot configure sub-package("&amp;SUM(D54:D55)+SUM(D57:D58)*6+SUM(D61:D62)*6+SUM(D64:D68)+D70*6+D73*6+D76*6+D79*6+SUM(D81:D84)&amp;" bytes)"</f>
        <v>Robot configure sub-package(445 bytes)</v>
      </c>
      <c r="B54" s="41" t="s">
        <v>15</v>
      </c>
      <c r="C54" s="42" t="s">
        <v>108</v>
      </c>
      <c r="D54" s="42">
        <v>4</v>
      </c>
      <c r="E54" s="43" t="s">
        <v>22</v>
      </c>
    </row>
    <row r="55" spans="1:5" ht="18" customHeight="1">
      <c r="A55" s="161"/>
      <c r="B55" s="44" t="s">
        <v>18</v>
      </c>
      <c r="C55" s="45" t="s">
        <v>109</v>
      </c>
      <c r="D55" s="45">
        <v>1</v>
      </c>
      <c r="E55" s="46" t="s">
        <v>110</v>
      </c>
    </row>
    <row r="56" spans="1:5" ht="18" customHeight="1">
      <c r="A56" s="161"/>
      <c r="B56" s="169" t="s">
        <v>60</v>
      </c>
      <c r="C56" s="170"/>
      <c r="D56" s="170"/>
      <c r="E56" s="171"/>
    </row>
    <row r="57" spans="1:5" ht="18" customHeight="1">
      <c r="A57" s="161"/>
      <c r="B57" s="44" t="s">
        <v>44</v>
      </c>
      <c r="C57" s="45" t="s">
        <v>111</v>
      </c>
      <c r="D57" s="45">
        <v>8</v>
      </c>
      <c r="E57" s="46" t="s">
        <v>112</v>
      </c>
    </row>
    <row r="58" spans="1:5" ht="18" customHeight="1">
      <c r="A58" s="161"/>
      <c r="B58" s="44" t="s">
        <v>44</v>
      </c>
      <c r="C58" s="45" t="s">
        <v>113</v>
      </c>
      <c r="D58" s="45">
        <v>8</v>
      </c>
      <c r="E58" s="46" t="s">
        <v>114</v>
      </c>
    </row>
    <row r="59" spans="1:5" ht="18" customHeight="1">
      <c r="A59" s="161"/>
      <c r="B59" s="169" t="s">
        <v>80</v>
      </c>
      <c r="C59" s="170"/>
      <c r="D59" s="170"/>
      <c r="E59" s="171"/>
    </row>
    <row r="60" spans="1:5" ht="18" customHeight="1">
      <c r="A60" s="161"/>
      <c r="B60" s="169" t="s">
        <v>60</v>
      </c>
      <c r="C60" s="170"/>
      <c r="D60" s="170"/>
      <c r="E60" s="171"/>
    </row>
    <row r="61" spans="1:5" ht="18" customHeight="1">
      <c r="A61" s="161"/>
      <c r="B61" s="44" t="s">
        <v>44</v>
      </c>
      <c r="C61" s="45" t="s">
        <v>115</v>
      </c>
      <c r="D61" s="45">
        <v>8</v>
      </c>
      <c r="E61" s="46" t="s">
        <v>116</v>
      </c>
    </row>
    <row r="62" spans="1:5" ht="18" customHeight="1">
      <c r="A62" s="161"/>
      <c r="B62" s="44" t="s">
        <v>44</v>
      </c>
      <c r="C62" s="45" t="s">
        <v>117</v>
      </c>
      <c r="D62" s="45">
        <v>8</v>
      </c>
      <c r="E62" s="46" t="s">
        <v>118</v>
      </c>
    </row>
    <row r="63" spans="1:5" ht="18" customHeight="1">
      <c r="A63" s="161"/>
      <c r="B63" s="169" t="s">
        <v>80</v>
      </c>
      <c r="C63" s="170"/>
      <c r="D63" s="170"/>
      <c r="E63" s="171"/>
    </row>
    <row r="64" spans="1:5" ht="18" customHeight="1">
      <c r="A64" s="161"/>
      <c r="B64" s="44" t="s">
        <v>44</v>
      </c>
      <c r="C64" s="45" t="s">
        <v>119</v>
      </c>
      <c r="D64" s="45">
        <v>8</v>
      </c>
      <c r="E64" s="46" t="s">
        <v>120</v>
      </c>
    </row>
    <row r="65" spans="1:5" ht="18" customHeight="1">
      <c r="A65" s="161"/>
      <c r="B65" s="44" t="s">
        <v>44</v>
      </c>
      <c r="C65" s="45" t="s">
        <v>121</v>
      </c>
      <c r="D65" s="45">
        <v>8</v>
      </c>
      <c r="E65" s="46" t="s">
        <v>122</v>
      </c>
    </row>
    <row r="66" spans="1:5" ht="18" customHeight="1">
      <c r="A66" s="161"/>
      <c r="B66" s="44" t="s">
        <v>44</v>
      </c>
      <c r="C66" s="45" t="s">
        <v>123</v>
      </c>
      <c r="D66" s="45">
        <v>8</v>
      </c>
      <c r="E66" s="46" t="s">
        <v>124</v>
      </c>
    </row>
    <row r="67" spans="1:5" ht="18" customHeight="1">
      <c r="A67" s="161"/>
      <c r="B67" s="44" t="s">
        <v>44</v>
      </c>
      <c r="C67" s="45" t="s">
        <v>125</v>
      </c>
      <c r="D67" s="45">
        <v>8</v>
      </c>
      <c r="E67" s="46" t="s">
        <v>126</v>
      </c>
    </row>
    <row r="68" spans="1:5" ht="18" customHeight="1">
      <c r="A68" s="161"/>
      <c r="B68" s="44" t="s">
        <v>44</v>
      </c>
      <c r="C68" s="45" t="s">
        <v>127</v>
      </c>
      <c r="D68" s="45">
        <v>8</v>
      </c>
      <c r="E68" s="46" t="s">
        <v>128</v>
      </c>
    </row>
    <row r="69" spans="1:5" ht="18" customHeight="1">
      <c r="A69" s="161"/>
      <c r="B69" s="169" t="s">
        <v>60</v>
      </c>
      <c r="C69" s="170"/>
      <c r="D69" s="170"/>
      <c r="E69" s="171"/>
    </row>
    <row r="70" spans="1:5" ht="18" customHeight="1">
      <c r="A70" s="161"/>
      <c r="B70" s="44" t="s">
        <v>44</v>
      </c>
      <c r="C70" s="45" t="s">
        <v>129</v>
      </c>
      <c r="D70" s="45">
        <v>8</v>
      </c>
      <c r="E70" s="46" t="s">
        <v>130</v>
      </c>
    </row>
    <row r="71" spans="1:5" ht="18" customHeight="1">
      <c r="A71" s="161"/>
      <c r="B71" s="169" t="s">
        <v>80</v>
      </c>
      <c r="C71" s="170"/>
      <c r="D71" s="170"/>
      <c r="E71" s="171"/>
    </row>
    <row r="72" spans="1:5" ht="18" customHeight="1">
      <c r="A72" s="161"/>
      <c r="B72" s="169" t="s">
        <v>60</v>
      </c>
      <c r="C72" s="170"/>
      <c r="D72" s="170"/>
      <c r="E72" s="171"/>
    </row>
    <row r="73" spans="1:5" ht="18" customHeight="1">
      <c r="A73" s="161"/>
      <c r="B73" s="44" t="s">
        <v>44</v>
      </c>
      <c r="C73" s="45" t="s">
        <v>131</v>
      </c>
      <c r="D73" s="45">
        <v>8</v>
      </c>
      <c r="E73" s="46" t="s">
        <v>132</v>
      </c>
    </row>
    <row r="74" spans="1:5" ht="18" customHeight="1">
      <c r="A74" s="161"/>
      <c r="B74" s="169" t="s">
        <v>80</v>
      </c>
      <c r="C74" s="170"/>
      <c r="D74" s="170"/>
      <c r="E74" s="171"/>
    </row>
    <row r="75" spans="1:5" ht="18" customHeight="1">
      <c r="A75" s="161"/>
      <c r="B75" s="169" t="s">
        <v>60</v>
      </c>
      <c r="C75" s="170"/>
      <c r="D75" s="170"/>
      <c r="E75" s="171"/>
    </row>
    <row r="76" spans="1:5" ht="18" customHeight="1">
      <c r="A76" s="161"/>
      <c r="B76" s="44" t="s">
        <v>44</v>
      </c>
      <c r="C76" s="45" t="s">
        <v>133</v>
      </c>
      <c r="D76" s="45">
        <v>8</v>
      </c>
      <c r="E76" s="46" t="s">
        <v>134</v>
      </c>
    </row>
    <row r="77" spans="1:5" ht="18" customHeight="1">
      <c r="A77" s="161"/>
      <c r="B77" s="169" t="s">
        <v>80</v>
      </c>
      <c r="C77" s="170"/>
      <c r="D77" s="170"/>
      <c r="E77" s="171"/>
    </row>
    <row r="78" spans="1:5" ht="18" customHeight="1">
      <c r="A78" s="161"/>
      <c r="B78" s="170" t="s">
        <v>60</v>
      </c>
      <c r="C78" s="172"/>
      <c r="D78" s="172"/>
      <c r="E78" s="173"/>
    </row>
    <row r="79" spans="1:5" ht="18" customHeight="1">
      <c r="A79" s="161"/>
      <c r="B79" s="44" t="s">
        <v>44</v>
      </c>
      <c r="C79" s="45" t="s">
        <v>29</v>
      </c>
      <c r="D79" s="45">
        <v>8</v>
      </c>
      <c r="E79" s="46" t="s">
        <v>29</v>
      </c>
    </row>
    <row r="80" spans="1:5" ht="18" customHeight="1">
      <c r="A80" s="161"/>
      <c r="B80" s="169" t="s">
        <v>80</v>
      </c>
      <c r="C80" s="170"/>
      <c r="D80" s="170"/>
      <c r="E80" s="171"/>
    </row>
    <row r="81" spans="1:5" ht="18" customHeight="1">
      <c r="A81" s="161"/>
      <c r="B81" s="44" t="s">
        <v>15</v>
      </c>
      <c r="C81" s="45" t="s">
        <v>135</v>
      </c>
      <c r="D81" s="45">
        <v>4</v>
      </c>
      <c r="E81" s="46" t="s">
        <v>136</v>
      </c>
    </row>
    <row r="82" spans="1:5" ht="18" customHeight="1">
      <c r="A82" s="161"/>
      <c r="B82" s="44" t="s">
        <v>15</v>
      </c>
      <c r="C82" s="45" t="s">
        <v>137</v>
      </c>
      <c r="D82" s="45">
        <v>4</v>
      </c>
      <c r="E82" s="46" t="s">
        <v>138</v>
      </c>
    </row>
    <row r="83" spans="1:5" ht="18" customHeight="1">
      <c r="A83" s="161"/>
      <c r="B83" s="44" t="s">
        <v>15</v>
      </c>
      <c r="C83" s="45" t="s">
        <v>139</v>
      </c>
      <c r="D83" s="45">
        <v>4</v>
      </c>
      <c r="E83" s="48" t="s">
        <v>140</v>
      </c>
    </row>
    <row r="84" spans="1:5" ht="18" customHeight="1">
      <c r="A84" s="154"/>
      <c r="B84" s="22" t="s">
        <v>15</v>
      </c>
      <c r="C84" s="23" t="s">
        <v>141</v>
      </c>
      <c r="D84" s="23">
        <v>4</v>
      </c>
      <c r="E84" s="55" t="s">
        <v>142</v>
      </c>
    </row>
    <row r="85" spans="1:5" ht="18" customHeight="1">
      <c r="A85" s="166" t="str">
        <f>"Robot motherboard sub-package("&amp;SUM(D85:D109)&amp;" bytes)"</f>
        <v>Robot motherboard sub-package(88 bytes)</v>
      </c>
      <c r="B85" s="49" t="s">
        <v>15</v>
      </c>
      <c r="C85" s="50" t="s">
        <v>143</v>
      </c>
      <c r="D85" s="50">
        <v>4</v>
      </c>
      <c r="E85" s="51" t="s">
        <v>22</v>
      </c>
    </row>
    <row r="86" spans="1:5" ht="18" customHeight="1">
      <c r="A86" s="167"/>
      <c r="B86" s="28" t="s">
        <v>18</v>
      </c>
      <c r="C86" s="29" t="s">
        <v>144</v>
      </c>
      <c r="D86" s="29">
        <v>1</v>
      </c>
      <c r="E86" s="30" t="s">
        <v>145</v>
      </c>
    </row>
    <row r="87" spans="1:5" ht="18" customHeight="1">
      <c r="A87" s="167"/>
      <c r="B87" s="28" t="s">
        <v>15</v>
      </c>
      <c r="C87" s="29" t="s">
        <v>146</v>
      </c>
      <c r="D87" s="29">
        <v>4</v>
      </c>
      <c r="E87" s="30" t="s">
        <v>147</v>
      </c>
    </row>
    <row r="88" spans="1:5" ht="18" customHeight="1">
      <c r="A88" s="167"/>
      <c r="B88" s="28" t="s">
        <v>15</v>
      </c>
      <c r="C88" s="29" t="s">
        <v>148</v>
      </c>
      <c r="D88" s="29">
        <v>4</v>
      </c>
      <c r="E88" s="30" t="s">
        <v>149</v>
      </c>
    </row>
    <row r="89" spans="1:5" ht="18" customHeight="1">
      <c r="A89" s="167"/>
      <c r="B89" s="28" t="s">
        <v>18</v>
      </c>
      <c r="C89" s="29" t="s">
        <v>150</v>
      </c>
      <c r="D89" s="29">
        <v>1</v>
      </c>
      <c r="E89" s="56" t="s">
        <v>151</v>
      </c>
    </row>
    <row r="90" spans="1:5" ht="18" customHeight="1">
      <c r="A90" s="167"/>
      <c r="B90" s="28" t="s">
        <v>18</v>
      </c>
      <c r="C90" s="29" t="s">
        <v>152</v>
      </c>
      <c r="D90" s="29">
        <v>1</v>
      </c>
      <c r="E90" s="56" t="s">
        <v>153</v>
      </c>
    </row>
    <row r="91" spans="1:5" ht="18" customHeight="1">
      <c r="A91" s="167"/>
      <c r="B91" s="28" t="s">
        <v>18</v>
      </c>
      <c r="C91" s="29" t="s">
        <v>154</v>
      </c>
      <c r="D91" s="29">
        <v>1</v>
      </c>
      <c r="E91" s="56" t="s">
        <v>155</v>
      </c>
    </row>
    <row r="92" spans="1:5" ht="18" customHeight="1">
      <c r="A92" s="167"/>
      <c r="B92" s="28" t="s">
        <v>44</v>
      </c>
      <c r="C92" s="29" t="s">
        <v>156</v>
      </c>
      <c r="D92" s="29">
        <v>8</v>
      </c>
      <c r="E92" s="30" t="s">
        <v>157</v>
      </c>
    </row>
    <row r="93" spans="1:5" ht="18" customHeight="1">
      <c r="A93" s="167"/>
      <c r="B93" s="28" t="s">
        <v>44</v>
      </c>
      <c r="C93" s="29" t="s">
        <v>158</v>
      </c>
      <c r="D93" s="29">
        <v>8</v>
      </c>
      <c r="E93" s="30" t="s">
        <v>159</v>
      </c>
    </row>
    <row r="94" spans="1:5" ht="18" customHeight="1">
      <c r="A94" s="167"/>
      <c r="B94" s="28" t="s">
        <v>44</v>
      </c>
      <c r="C94" s="29" t="s">
        <v>160</v>
      </c>
      <c r="D94" s="29">
        <v>8</v>
      </c>
      <c r="E94" s="30" t="s">
        <v>161</v>
      </c>
    </row>
    <row r="95" spans="1:5" ht="18" customHeight="1">
      <c r="A95" s="167"/>
      <c r="B95" s="28" t="s">
        <v>18</v>
      </c>
      <c r="C95" s="29" t="s">
        <v>162</v>
      </c>
      <c r="D95" s="29">
        <v>1</v>
      </c>
      <c r="E95" s="56" t="s">
        <v>163</v>
      </c>
    </row>
    <row r="96" spans="1:5" ht="18" customHeight="1">
      <c r="A96" s="167"/>
      <c r="B96" s="28" t="s">
        <v>18</v>
      </c>
      <c r="C96" s="29" t="s">
        <v>164</v>
      </c>
      <c r="D96" s="29">
        <v>1</v>
      </c>
      <c r="E96" s="56" t="s">
        <v>165</v>
      </c>
    </row>
    <row r="97" spans="1:5" ht="18" customHeight="1">
      <c r="A97" s="167"/>
      <c r="B97" s="28" t="s">
        <v>18</v>
      </c>
      <c r="C97" s="29" t="s">
        <v>166</v>
      </c>
      <c r="D97" s="29">
        <v>1</v>
      </c>
      <c r="E97" s="56" t="s">
        <v>167</v>
      </c>
    </row>
    <row r="98" spans="1:5" ht="18" customHeight="1">
      <c r="A98" s="167"/>
      <c r="B98" s="28" t="s">
        <v>44</v>
      </c>
      <c r="C98" s="29" t="s">
        <v>168</v>
      </c>
      <c r="D98" s="29">
        <v>8</v>
      </c>
      <c r="E98" s="30" t="s">
        <v>169</v>
      </c>
    </row>
    <row r="99" spans="1:5" ht="18" customHeight="1">
      <c r="A99" s="167"/>
      <c r="B99" s="28" t="s">
        <v>44</v>
      </c>
      <c r="C99" s="29" t="s">
        <v>170</v>
      </c>
      <c r="D99" s="29">
        <v>8</v>
      </c>
      <c r="E99" s="30" t="s">
        <v>171</v>
      </c>
    </row>
    <row r="100" spans="1:5" ht="18" customHeight="1">
      <c r="A100" s="167"/>
      <c r="B100" s="28" t="s">
        <v>44</v>
      </c>
      <c r="C100" s="29" t="s">
        <v>172</v>
      </c>
      <c r="D100" s="29">
        <v>8</v>
      </c>
      <c r="E100" s="30" t="s">
        <v>173</v>
      </c>
    </row>
    <row r="101" spans="1:5" ht="18" customHeight="1">
      <c r="A101" s="167"/>
      <c r="B101" s="28" t="s">
        <v>68</v>
      </c>
      <c r="C101" s="29" t="s">
        <v>174</v>
      </c>
      <c r="D101" s="29">
        <v>4</v>
      </c>
      <c r="E101" s="30" t="s">
        <v>175</v>
      </c>
    </row>
    <row r="102" spans="1:5" ht="18" customHeight="1">
      <c r="A102" s="167"/>
      <c r="B102" s="28" t="s">
        <v>68</v>
      </c>
      <c r="C102" s="29" t="s">
        <v>176</v>
      </c>
      <c r="D102" s="29">
        <v>4</v>
      </c>
      <c r="E102" s="30" t="s">
        <v>177</v>
      </c>
    </row>
    <row r="103" spans="1:5" ht="18" customHeight="1">
      <c r="A103" s="167"/>
      <c r="B103" s="28" t="s">
        <v>68</v>
      </c>
      <c r="C103" s="29" t="s">
        <v>178</v>
      </c>
      <c r="D103" s="29">
        <v>4</v>
      </c>
      <c r="E103" s="30" t="s">
        <v>179</v>
      </c>
    </row>
    <row r="104" spans="1:5" ht="18" customHeight="1">
      <c r="A104" s="167"/>
      <c r="B104" s="28" t="s">
        <v>68</v>
      </c>
      <c r="C104" s="29" t="s">
        <v>180</v>
      </c>
      <c r="D104" s="29">
        <v>4</v>
      </c>
      <c r="E104" s="84" t="s">
        <v>181</v>
      </c>
    </row>
    <row r="105" spans="1:5" ht="18" customHeight="1">
      <c r="A105" s="167"/>
      <c r="B105" s="28" t="s">
        <v>18</v>
      </c>
      <c r="C105" s="29" t="s">
        <v>182</v>
      </c>
      <c r="D105" s="29">
        <v>1</v>
      </c>
      <c r="E105" s="31" t="s">
        <v>183</v>
      </c>
    </row>
    <row r="106" spans="1:5" ht="18" customHeight="1">
      <c r="A106" s="167"/>
      <c r="B106" s="28" t="s">
        <v>28</v>
      </c>
      <c r="C106" s="29" t="s">
        <v>184</v>
      </c>
      <c r="D106" s="29">
        <v>1</v>
      </c>
      <c r="E106" s="30" t="s">
        <v>185</v>
      </c>
    </row>
    <row r="107" spans="1:5" ht="18" customHeight="1">
      <c r="A107" s="167"/>
      <c r="B107" s="28" t="s">
        <v>28</v>
      </c>
      <c r="C107" s="29" t="s">
        <v>186</v>
      </c>
      <c r="D107" s="29">
        <v>1</v>
      </c>
      <c r="E107" s="30" t="s">
        <v>187</v>
      </c>
    </row>
    <row r="108" spans="1:5" ht="18" customHeight="1">
      <c r="A108" s="167"/>
      <c r="B108" s="28" t="s">
        <v>28</v>
      </c>
      <c r="C108" s="29" t="s">
        <v>188</v>
      </c>
      <c r="D108" s="29">
        <v>1</v>
      </c>
      <c r="E108" s="30" t="s">
        <v>189</v>
      </c>
    </row>
    <row r="109" spans="1:5" ht="18" customHeight="1">
      <c r="A109" s="168"/>
      <c r="B109" s="52" t="s">
        <v>18</v>
      </c>
      <c r="C109" s="53" t="s">
        <v>190</v>
      </c>
      <c r="D109" s="53">
        <v>1</v>
      </c>
      <c r="E109" s="57" t="s">
        <v>191</v>
      </c>
    </row>
    <row r="110" spans="1:5" ht="18" customHeight="1">
      <c r="A110" s="153" t="str">
        <f>"Robot additional information sub-package("&amp;SUM(D110:D116)&amp;" bytes)"</f>
        <v>Robot additional information sub-package(10 bytes)</v>
      </c>
      <c r="B110" s="41" t="s">
        <v>15</v>
      </c>
      <c r="C110" s="42" t="s">
        <v>192</v>
      </c>
      <c r="D110" s="42">
        <v>4</v>
      </c>
      <c r="E110" s="43" t="s">
        <v>22</v>
      </c>
    </row>
    <row r="111" spans="1:5" ht="18" customHeight="1">
      <c r="A111" s="161"/>
      <c r="B111" s="44" t="s">
        <v>18</v>
      </c>
      <c r="C111" s="45" t="s">
        <v>193</v>
      </c>
      <c r="D111" s="45">
        <v>1</v>
      </c>
      <c r="E111" s="46" t="s">
        <v>194</v>
      </c>
    </row>
    <row r="112" spans="1:5" ht="18" customHeight="1">
      <c r="A112" s="161"/>
      <c r="B112" s="44" t="s">
        <v>28</v>
      </c>
      <c r="C112" s="45" t="s">
        <v>195</v>
      </c>
      <c r="D112" s="45">
        <v>1</v>
      </c>
      <c r="E112" s="46" t="s">
        <v>196</v>
      </c>
    </row>
    <row r="113" spans="1:5" ht="18" customHeight="1">
      <c r="A113" s="161"/>
      <c r="B113" s="44" t="s">
        <v>28</v>
      </c>
      <c r="C113" s="45" t="s">
        <v>29</v>
      </c>
      <c r="D113" s="45">
        <v>1</v>
      </c>
      <c r="E113" s="46" t="s">
        <v>29</v>
      </c>
    </row>
    <row r="114" spans="1:5" ht="18" customHeight="1">
      <c r="A114" s="161"/>
      <c r="B114" s="44" t="s">
        <v>28</v>
      </c>
      <c r="C114" s="45" t="s">
        <v>197</v>
      </c>
      <c r="D114" s="45">
        <v>1</v>
      </c>
      <c r="E114" s="46" t="s">
        <v>198</v>
      </c>
    </row>
    <row r="115" spans="1:5" ht="18" customHeight="1">
      <c r="A115" s="165"/>
      <c r="B115" s="58" t="s">
        <v>28</v>
      </c>
      <c r="C115" s="59" t="s">
        <v>199</v>
      </c>
      <c r="D115" s="59">
        <v>1</v>
      </c>
      <c r="E115" s="60" t="s">
        <v>200</v>
      </c>
    </row>
    <row r="116" spans="1:5" ht="18" customHeight="1">
      <c r="A116" s="154"/>
      <c r="B116" s="22" t="s">
        <v>18</v>
      </c>
      <c r="C116" s="23" t="s">
        <v>29</v>
      </c>
      <c r="D116" s="23">
        <v>1</v>
      </c>
      <c r="E116" s="24" t="s">
        <v>29</v>
      </c>
    </row>
    <row r="117" spans="1:5" ht="18" customHeight="1">
      <c r="A117" s="158" t="str">
        <f>"Robot tool data sub-package("&amp;SUM(D117:D127)&amp;" bytes)"</f>
        <v>Robot tool data sub-package(37 bytes)</v>
      </c>
      <c r="B117" s="85" t="s">
        <v>15</v>
      </c>
      <c r="C117" s="86" t="s">
        <v>201</v>
      </c>
      <c r="D117" s="86">
        <v>4</v>
      </c>
      <c r="E117" s="87" t="s">
        <v>22</v>
      </c>
    </row>
    <row r="118" spans="1:5" ht="18" customHeight="1">
      <c r="A118" s="159"/>
      <c r="B118" s="88" t="s">
        <v>18</v>
      </c>
      <c r="C118" s="89" t="s">
        <v>202</v>
      </c>
      <c r="D118" s="89">
        <v>1</v>
      </c>
      <c r="E118" s="90" t="s">
        <v>203</v>
      </c>
    </row>
    <row r="119" spans="1:5" ht="18" customHeight="1">
      <c r="A119" s="159"/>
      <c r="B119" s="88" t="s">
        <v>18</v>
      </c>
      <c r="C119" s="89" t="s">
        <v>166</v>
      </c>
      <c r="D119" s="89">
        <v>1</v>
      </c>
      <c r="E119" s="34" t="s">
        <v>204</v>
      </c>
    </row>
    <row r="120" spans="1:5" ht="18" customHeight="1">
      <c r="A120" s="159"/>
      <c r="B120" s="88" t="s">
        <v>18</v>
      </c>
      <c r="C120" s="89" t="s">
        <v>154</v>
      </c>
      <c r="D120" s="89">
        <v>1</v>
      </c>
      <c r="E120" s="34" t="s">
        <v>205</v>
      </c>
    </row>
    <row r="121" spans="1:5" ht="18" customHeight="1">
      <c r="A121" s="159"/>
      <c r="B121" s="88" t="s">
        <v>44</v>
      </c>
      <c r="C121" s="89" t="s">
        <v>172</v>
      </c>
      <c r="D121" s="89">
        <v>8</v>
      </c>
      <c r="E121" s="90" t="s">
        <v>206</v>
      </c>
    </row>
    <row r="122" spans="1:5" ht="18" customHeight="1">
      <c r="A122" s="159"/>
      <c r="B122" s="88" t="s">
        <v>44</v>
      </c>
      <c r="C122" s="89" t="s">
        <v>160</v>
      </c>
      <c r="D122" s="89">
        <v>8</v>
      </c>
      <c r="E122" s="90" t="s">
        <v>207</v>
      </c>
    </row>
    <row r="123" spans="1:5" ht="18" customHeight="1">
      <c r="A123" s="159"/>
      <c r="B123" s="88" t="s">
        <v>68</v>
      </c>
      <c r="C123" s="89" t="s">
        <v>208</v>
      </c>
      <c r="D123" s="89">
        <v>4</v>
      </c>
      <c r="E123" s="90" t="s">
        <v>209</v>
      </c>
    </row>
    <row r="124" spans="1:5" ht="18" customHeight="1">
      <c r="A124" s="159"/>
      <c r="B124" s="88" t="s">
        <v>18</v>
      </c>
      <c r="C124" s="89" t="s">
        <v>210</v>
      </c>
      <c r="D124" s="89">
        <v>1</v>
      </c>
      <c r="E124" s="34" t="s">
        <v>211</v>
      </c>
    </row>
    <row r="125" spans="1:5" ht="18" customHeight="1">
      <c r="A125" s="159"/>
      <c r="B125" s="88" t="s">
        <v>68</v>
      </c>
      <c r="C125" s="89" t="s">
        <v>212</v>
      </c>
      <c r="D125" s="89">
        <v>4</v>
      </c>
      <c r="E125" s="90" t="s">
        <v>213</v>
      </c>
    </row>
    <row r="126" spans="1:5" ht="18" customHeight="1">
      <c r="A126" s="159"/>
      <c r="B126" s="88" t="s">
        <v>68</v>
      </c>
      <c r="C126" s="89" t="s">
        <v>214</v>
      </c>
      <c r="D126" s="89">
        <v>4</v>
      </c>
      <c r="E126" s="90" t="s">
        <v>215</v>
      </c>
    </row>
    <row r="127" spans="1:5" ht="18" customHeight="1">
      <c r="A127" s="160"/>
      <c r="B127" s="91" t="s">
        <v>18</v>
      </c>
      <c r="C127" s="92" t="s">
        <v>216</v>
      </c>
      <c r="D127" s="92">
        <v>1</v>
      </c>
      <c r="E127" s="93" t="s">
        <v>217</v>
      </c>
    </row>
    <row r="128" spans="1:5" ht="18" customHeight="1">
      <c r="A128" s="153" t="str">
        <f>"Robot satety mode sub-package("&amp;SUM(D128:D136)&amp;" bytes)"</f>
        <v>Robot satety mode sub-package(43 bytes)</v>
      </c>
      <c r="B128" s="41" t="s">
        <v>15</v>
      </c>
      <c r="C128" s="42" t="s">
        <v>218</v>
      </c>
      <c r="D128" s="42">
        <v>4</v>
      </c>
      <c r="E128" s="43" t="s">
        <v>22</v>
      </c>
    </row>
    <row r="129" spans="1:5" ht="18" customHeight="1">
      <c r="A129" s="161"/>
      <c r="B129" s="44" t="s">
        <v>18</v>
      </c>
      <c r="C129" s="45" t="s">
        <v>219</v>
      </c>
      <c r="D129" s="45">
        <v>1</v>
      </c>
      <c r="E129" s="46" t="s">
        <v>220</v>
      </c>
    </row>
    <row r="130" spans="1:5" ht="18" customHeight="1">
      <c r="A130" s="161"/>
      <c r="B130" s="44" t="s">
        <v>15</v>
      </c>
      <c r="C130" s="45" t="s">
        <v>221</v>
      </c>
      <c r="D130" s="45">
        <v>4</v>
      </c>
      <c r="E130" s="46" t="s">
        <v>222</v>
      </c>
    </row>
    <row r="131" spans="1:5" ht="18" customHeight="1">
      <c r="A131" s="161"/>
      <c r="B131" s="44" t="s">
        <v>223</v>
      </c>
      <c r="C131" s="45" t="s">
        <v>224</v>
      </c>
      <c r="D131" s="45">
        <v>1</v>
      </c>
      <c r="E131" s="94" t="s">
        <v>225</v>
      </c>
    </row>
    <row r="132" spans="1:5" ht="18" customHeight="1">
      <c r="A132" s="161"/>
      <c r="B132" s="44" t="s">
        <v>18</v>
      </c>
      <c r="C132" s="45" t="s">
        <v>29</v>
      </c>
      <c r="D132" s="45">
        <v>1</v>
      </c>
      <c r="E132" s="46" t="s">
        <v>29</v>
      </c>
    </row>
    <row r="133" spans="1:5" ht="18" customHeight="1">
      <c r="A133" s="161"/>
      <c r="B133" s="44" t="s">
        <v>44</v>
      </c>
      <c r="C133" s="45" t="s">
        <v>226</v>
      </c>
      <c r="D133" s="45">
        <v>8</v>
      </c>
      <c r="E133" s="46" t="s">
        <v>227</v>
      </c>
    </row>
    <row r="134" spans="1:5" ht="18" customHeight="1">
      <c r="A134" s="161"/>
      <c r="B134" s="44" t="s">
        <v>44</v>
      </c>
      <c r="C134" s="45" t="s">
        <v>228</v>
      </c>
      <c r="D134" s="45">
        <v>8</v>
      </c>
      <c r="E134" s="46" t="s">
        <v>229</v>
      </c>
    </row>
    <row r="135" spans="1:5" ht="18" customHeight="1">
      <c r="A135" s="161"/>
      <c r="B135" s="44" t="s">
        <v>44</v>
      </c>
      <c r="C135" s="45" t="s">
        <v>230</v>
      </c>
      <c r="D135" s="45">
        <v>8</v>
      </c>
      <c r="E135" s="46" t="s">
        <v>231</v>
      </c>
    </row>
    <row r="136" spans="1:5" ht="18" customHeight="1">
      <c r="A136" s="154"/>
      <c r="B136" s="22" t="s">
        <v>44</v>
      </c>
      <c r="C136" s="23" t="s">
        <v>232</v>
      </c>
      <c r="D136" s="23">
        <v>8</v>
      </c>
      <c r="E136" s="24" t="s">
        <v>233</v>
      </c>
    </row>
    <row r="137" spans="1:5" ht="18" customHeight="1">
      <c r="A137" s="158" t="str">
        <f>"Robot communication sub-package("&amp;SUM(D137:D145)&amp;" bytes)"</f>
        <v>Robot communication sub-package(27 bytes)</v>
      </c>
      <c r="B137" s="85" t="s">
        <v>15</v>
      </c>
      <c r="C137" s="86" t="s">
        <v>234</v>
      </c>
      <c r="D137" s="86">
        <v>4</v>
      </c>
      <c r="E137" s="87" t="s">
        <v>22</v>
      </c>
    </row>
    <row r="138" spans="1:5" ht="18" customHeight="1">
      <c r="A138" s="159"/>
      <c r="B138" s="88" t="s">
        <v>18</v>
      </c>
      <c r="C138" s="89" t="s">
        <v>235</v>
      </c>
      <c r="D138" s="89">
        <v>1</v>
      </c>
      <c r="E138" s="90" t="s">
        <v>236</v>
      </c>
    </row>
    <row r="139" spans="1:5" ht="18" customHeight="1">
      <c r="A139" s="159"/>
      <c r="B139" s="88" t="s">
        <v>28</v>
      </c>
      <c r="C139" s="89" t="s">
        <v>237</v>
      </c>
      <c r="D139" s="89">
        <v>1</v>
      </c>
      <c r="E139" s="90" t="s">
        <v>238</v>
      </c>
    </row>
    <row r="140" spans="1:5" ht="18" customHeight="1">
      <c r="A140" s="159"/>
      <c r="B140" s="88" t="s">
        <v>15</v>
      </c>
      <c r="C140" s="89" t="s">
        <v>239</v>
      </c>
      <c r="D140" s="89">
        <v>4</v>
      </c>
      <c r="E140" s="90" t="s">
        <v>240</v>
      </c>
    </row>
    <row r="141" spans="1:5" ht="18" customHeight="1">
      <c r="A141" s="159"/>
      <c r="B141" s="88" t="s">
        <v>15</v>
      </c>
      <c r="C141" s="89" t="s">
        <v>241</v>
      </c>
      <c r="D141" s="89">
        <v>4</v>
      </c>
      <c r="E141" s="95" t="s">
        <v>242</v>
      </c>
    </row>
    <row r="142" spans="1:5" ht="18" customHeight="1">
      <c r="A142" s="159"/>
      <c r="B142" s="88" t="s">
        <v>15</v>
      </c>
      <c r="C142" s="89" t="s">
        <v>243</v>
      </c>
      <c r="D142" s="89">
        <v>4</v>
      </c>
      <c r="E142" s="95" t="s">
        <v>244</v>
      </c>
    </row>
    <row r="143" spans="1:5" ht="18" customHeight="1">
      <c r="A143" s="159"/>
      <c r="B143" s="88" t="s">
        <v>28</v>
      </c>
      <c r="C143" s="89" t="s">
        <v>245</v>
      </c>
      <c r="D143" s="89">
        <v>1</v>
      </c>
      <c r="E143" s="95" t="s">
        <v>246</v>
      </c>
    </row>
    <row r="144" spans="1:5" ht="18" customHeight="1">
      <c r="A144" s="159"/>
      <c r="B144" s="88" t="s">
        <v>68</v>
      </c>
      <c r="C144" s="89" t="s">
        <v>29</v>
      </c>
      <c r="D144" s="89">
        <v>4</v>
      </c>
      <c r="E144" s="90" t="s">
        <v>29</v>
      </c>
    </row>
    <row r="145" spans="1:5" ht="18" customHeight="1">
      <c r="A145" s="160"/>
      <c r="B145" s="91" t="s">
        <v>68</v>
      </c>
      <c r="C145" s="92" t="s">
        <v>359</v>
      </c>
      <c r="D145" s="92">
        <v>4</v>
      </c>
      <c r="E145" s="96" t="s">
        <v>29</v>
      </c>
    </row>
    <row r="146" spans="1:5" ht="18" customHeight="1">
      <c r="B146" s="97"/>
      <c r="C146" s="98"/>
      <c r="D146" s="98"/>
    </row>
    <row r="147" spans="1:5" ht="18" customHeight="1">
      <c r="B147" s="97"/>
      <c r="C147" s="98"/>
      <c r="D147" s="98"/>
    </row>
    <row r="148" spans="1:5" ht="18" customHeight="1">
      <c r="B148" s="97"/>
      <c r="C148" s="98"/>
      <c r="D148" s="98"/>
    </row>
    <row r="149" spans="1:5" ht="18" customHeight="1">
      <c r="B149" s="97"/>
      <c r="C149" s="98"/>
      <c r="D149" s="98"/>
    </row>
    <row r="150" spans="1:5" ht="18" customHeight="1">
      <c r="B150" s="97"/>
      <c r="C150" s="98"/>
      <c r="D150" s="98"/>
    </row>
    <row r="151" spans="1:5" ht="18" customHeight="1">
      <c r="B151" s="97"/>
      <c r="C151" s="98"/>
      <c r="D151" s="98"/>
    </row>
    <row r="152" spans="1:5" ht="18" customHeight="1">
      <c r="B152" s="97"/>
      <c r="C152" s="98"/>
      <c r="D152" s="98"/>
    </row>
    <row r="153" spans="1:5" ht="18" customHeight="1">
      <c r="B153" s="97"/>
      <c r="C153" s="98"/>
      <c r="D153" s="98"/>
    </row>
    <row r="154" spans="1:5" ht="18" customHeight="1">
      <c r="B154" s="97"/>
      <c r="C154" s="98"/>
      <c r="D154" s="98"/>
    </row>
    <row r="155" spans="1:5" ht="18" customHeight="1">
      <c r="B155" s="97"/>
      <c r="C155" s="98"/>
      <c r="D155" s="98"/>
    </row>
    <row r="156" spans="1:5" ht="18" customHeight="1">
      <c r="B156" s="97"/>
      <c r="C156" s="98"/>
      <c r="D156" s="98"/>
    </row>
    <row r="157" spans="1:5" ht="18" customHeight="1">
      <c r="B157" s="97"/>
      <c r="C157" s="98"/>
      <c r="D157" s="98"/>
    </row>
    <row r="158" spans="1:5" ht="18" customHeight="1">
      <c r="B158" s="97"/>
      <c r="C158" s="98"/>
      <c r="D158" s="98"/>
    </row>
    <row r="159" spans="1:5" ht="18" customHeight="1">
      <c r="B159" s="97"/>
      <c r="C159" s="98"/>
      <c r="D159" s="98"/>
    </row>
  </sheetData>
  <mergeCells count="25">
    <mergeCell ref="A110:A116"/>
    <mergeCell ref="A117:A127"/>
    <mergeCell ref="A128:A136"/>
    <mergeCell ref="A137:A145"/>
    <mergeCell ref="B75:E75"/>
    <mergeCell ref="B77:E77"/>
    <mergeCell ref="B78:E78"/>
    <mergeCell ref="B80:E80"/>
    <mergeCell ref="A85:A109"/>
    <mergeCell ref="A1:E1"/>
    <mergeCell ref="B26:E26"/>
    <mergeCell ref="B39:E39"/>
    <mergeCell ref="B56:E56"/>
    <mergeCell ref="B59:E59"/>
    <mergeCell ref="A3:A4"/>
    <mergeCell ref="A5:A23"/>
    <mergeCell ref="A24:A39"/>
    <mergeCell ref="A40:A53"/>
    <mergeCell ref="A54:A84"/>
    <mergeCell ref="B60:E60"/>
    <mergeCell ref="B63:E63"/>
    <mergeCell ref="B69:E69"/>
    <mergeCell ref="B71:E71"/>
    <mergeCell ref="B72:E72"/>
    <mergeCell ref="B74:E74"/>
  </mergeCells>
  <phoneticPr fontId="17" type="noConversion"/>
  <hyperlinks>
    <hyperlink ref="E15" location="ROBOT_MODE!A1" display="Robot mode: Details ROBOT_MODE" xr:uid="{00000000-0004-0000-0100-000000000000}"/>
    <hyperlink ref="E16" location="ROBOT_CONTROL_MODE!A1" display="Robot control mode: Details ROBOT_CONTROL_MODE" xr:uid="{00000000-0004-0000-0100-000001000000}"/>
    <hyperlink ref="E37" location="JOINT_AND_TOOL_MODE!A1" display="Joint mode. Details: JOINT_AND_TOOL_MODE" xr:uid="{00000000-0004-0000-0100-000002000000}"/>
    <hyperlink ref="E83" location="ROBOT_TYPE!A1" display="Robot Type. Details: ROBOT_TYPE" xr:uid="{00000000-0004-0000-0100-000003000000}"/>
    <hyperlink ref="E84" location="ROBOT_STRUCTURE_TYPE!A1" display="Robot structure type. Details: ROBOT_STRUCTURE_TYPE" xr:uid="{00000000-0004-0000-0100-000004000000}"/>
    <hyperlink ref="E89:E90" location="ANALOG_DOMAIN!A1" display="Analog input IO0 configure, Details: ANALOG_DOMAIN" xr:uid="{00000000-0004-0000-0100-000005000000}"/>
    <hyperlink ref="E91" location="ANALOG_DOMAIN!A1" display="Tool analog IO configure, Details: ANALOG_DOMAIN" xr:uid="{00000000-0004-0000-0100-000006000000}"/>
    <hyperlink ref="E95:E96" location="ANALOG_DOMAIN!A1" display="Analog output IO0 configure. Details: ANALOG_DOMAIN" xr:uid="{00000000-0004-0000-0100-000007000000}"/>
    <hyperlink ref="E97" location="ANALOG_DOMAIN!A1" display="Tool analog output io configure. Details: ANALOG_DOMAIN" xr:uid="{00000000-0004-0000-0100-000008000000}"/>
    <hyperlink ref="E105" location="SAFETY_MODE!A1" display="Motherboard aggregated mode. Details: SAFETY_MODE" xr:uid="{00000000-0004-0000-0100-000009000000}"/>
    <hyperlink ref="E127" location="JOINT_AND_TOOL_MODE!A1" display="Tool mode. Details: JOINT_AND_TOOL_MODE" xr:uid="{00000000-0004-0000-0100-00000A000000}"/>
    <hyperlink ref="E119" location="ANALOG_DOMAIN!A1" display="Tool analog IO output configure. Details: ANALOG_DOMAIN" xr:uid="{00000000-0004-0000-0100-00000B000000}"/>
    <hyperlink ref="E120" location="ANALOG_DOMAIN!A1" display="Tool analog IO input configure. Details: ANALOG_DOMAIN" xr:uid="{00000000-0004-0000-0100-00000C000000}"/>
    <hyperlink ref="E124" location="TOOL_OUTPUT_VOLTAGE!A1" display="Tool output voltage. Details: TOOL_OUTPUT_VOLTAGE" xr:uid="{00000000-0004-0000-0100-00000D000000}"/>
    <hyperlink ref="A1:E1" location="报文格式!A1" display="Robot's State Package（Format: Package Format）" xr:uid="{00000000-0004-0000-0100-00000E000000}"/>
    <hyperlink ref="E131" location="SAFETY_OPERATIONAL_MODE!A1" display="Robot safety operation mode. Deltails: SAFETY_OPERATIONAL_MODE" xr:uid="{00000000-0004-0000-0100-00000F000000}"/>
    <hyperlink ref="E109" location="SAFETY_MODE!A1" display="Motherboard mode. Details: SAFETY_MODE" xr:uid="{00000000-0004-0000-0100-000010000000}"/>
    <hyperlink ref="E20" location="ROBOT_SPEED_MODE!A1" display="Robot speed mode, Details: ROBOT_SPEED_MODE" xr:uid="{00000000-0004-0000-0100-000011000000}"/>
  </hyperlink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1"/>
  <sheetViews>
    <sheetView topLeftCell="A145" workbookViewId="0">
      <selection activeCell="E116" sqref="E116"/>
    </sheetView>
  </sheetViews>
  <sheetFormatPr defaultColWidth="8.875" defaultRowHeight="18" customHeight="1"/>
  <cols>
    <col min="1" max="1" width="50.375" style="4" customWidth="1"/>
    <col min="2" max="2" width="16.5" style="12" customWidth="1"/>
    <col min="3" max="3" width="33.375" style="13" customWidth="1"/>
    <col min="4" max="4" width="21.625" style="13" customWidth="1"/>
    <col min="5" max="5" width="111.625" style="14" customWidth="1"/>
    <col min="6" max="16384" width="8.875" style="4"/>
  </cols>
  <sheetData>
    <row r="1" spans="1:5" s="1" customFormat="1" ht="18" customHeight="1">
      <c r="A1" s="174" t="s">
        <v>10</v>
      </c>
      <c r="B1" s="175"/>
      <c r="C1" s="175"/>
      <c r="D1" s="175"/>
      <c r="E1" s="176"/>
    </row>
    <row r="2" spans="1:5" ht="18" customHeight="1">
      <c r="A2" s="15"/>
      <c r="B2" s="16" t="s">
        <v>11</v>
      </c>
      <c r="C2" s="17" t="s">
        <v>247</v>
      </c>
      <c r="D2" s="17" t="s">
        <v>13</v>
      </c>
      <c r="E2" s="18" t="s">
        <v>2</v>
      </c>
    </row>
    <row r="3" spans="1:5" ht="18" customHeight="1">
      <c r="A3" s="177" t="s">
        <v>14</v>
      </c>
      <c r="B3" s="19" t="s">
        <v>15</v>
      </c>
      <c r="C3" s="20" t="s">
        <v>16</v>
      </c>
      <c r="D3" s="20">
        <v>4</v>
      </c>
      <c r="E3" s="21" t="s">
        <v>17</v>
      </c>
    </row>
    <row r="4" spans="1:5" ht="18" customHeight="1">
      <c r="A4" s="154"/>
      <c r="B4" s="22" t="s">
        <v>18</v>
      </c>
      <c r="C4" s="23" t="s">
        <v>19</v>
      </c>
      <c r="D4" s="23">
        <v>1</v>
      </c>
      <c r="E4" s="24" t="s">
        <v>20</v>
      </c>
    </row>
    <row r="5" spans="1:5" ht="18" customHeight="1">
      <c r="A5" s="178" t="str">
        <f>"Robot mode sub-package("&amp;SUM(D5:D23)&amp;" bytes)"</f>
        <v>Robot mode sub-package(53 bytes)</v>
      </c>
      <c r="B5" s="25" t="s">
        <v>15</v>
      </c>
      <c r="C5" s="26" t="s">
        <v>21</v>
      </c>
      <c r="D5" s="26">
        <v>4</v>
      </c>
      <c r="E5" s="27" t="s">
        <v>22</v>
      </c>
    </row>
    <row r="6" spans="1:5" ht="18" customHeight="1">
      <c r="A6" s="179"/>
      <c r="B6" s="28" t="s">
        <v>18</v>
      </c>
      <c r="C6" s="29" t="s">
        <v>248</v>
      </c>
      <c r="D6" s="29">
        <v>1</v>
      </c>
      <c r="E6" s="30" t="s">
        <v>24</v>
      </c>
    </row>
    <row r="7" spans="1:5" ht="18" customHeight="1">
      <c r="A7" s="179"/>
      <c r="B7" s="28" t="s">
        <v>25</v>
      </c>
      <c r="C7" s="29" t="s">
        <v>26</v>
      </c>
      <c r="D7" s="29">
        <v>8</v>
      </c>
      <c r="E7" s="30" t="s">
        <v>249</v>
      </c>
    </row>
    <row r="8" spans="1:5" ht="18" customHeight="1">
      <c r="A8" s="179"/>
      <c r="B8" s="28" t="s">
        <v>28</v>
      </c>
      <c r="C8" s="29" t="s">
        <v>29</v>
      </c>
      <c r="D8" s="29">
        <v>1</v>
      </c>
      <c r="E8" s="30" t="s">
        <v>29</v>
      </c>
    </row>
    <row r="9" spans="1:5" ht="18" customHeight="1">
      <c r="A9" s="179"/>
      <c r="B9" s="28" t="s">
        <v>28</v>
      </c>
      <c r="C9" s="29" t="s">
        <v>29</v>
      </c>
      <c r="D9" s="29">
        <v>1</v>
      </c>
      <c r="E9" s="30" t="s">
        <v>29</v>
      </c>
    </row>
    <row r="10" spans="1:5" ht="18" customHeight="1">
      <c r="A10" s="179"/>
      <c r="B10" s="28" t="s">
        <v>28</v>
      </c>
      <c r="C10" s="29" t="s">
        <v>30</v>
      </c>
      <c r="D10" s="29">
        <v>1</v>
      </c>
      <c r="E10" s="30" t="s">
        <v>31</v>
      </c>
    </row>
    <row r="11" spans="1:5" ht="18" customHeight="1">
      <c r="A11" s="179"/>
      <c r="B11" s="28" t="s">
        <v>28</v>
      </c>
      <c r="C11" s="29" t="s">
        <v>32</v>
      </c>
      <c r="D11" s="29">
        <v>1</v>
      </c>
      <c r="E11" s="30" t="s">
        <v>33</v>
      </c>
    </row>
    <row r="12" spans="1:5" ht="18" customHeight="1">
      <c r="A12" s="179"/>
      <c r="B12" s="28" t="s">
        <v>28</v>
      </c>
      <c r="C12" s="29" t="s">
        <v>34</v>
      </c>
      <c r="D12" s="29">
        <v>1</v>
      </c>
      <c r="E12" s="30" t="s">
        <v>35</v>
      </c>
    </row>
    <row r="13" spans="1:5" ht="18" customHeight="1">
      <c r="A13" s="179"/>
      <c r="B13" s="28" t="s">
        <v>28</v>
      </c>
      <c r="C13" s="29" t="s">
        <v>36</v>
      </c>
      <c r="D13" s="29">
        <v>1</v>
      </c>
      <c r="E13" s="30" t="s">
        <v>37</v>
      </c>
    </row>
    <row r="14" spans="1:5" ht="18" customHeight="1">
      <c r="A14" s="179"/>
      <c r="B14" s="28" t="s">
        <v>28</v>
      </c>
      <c r="C14" s="29" t="s">
        <v>38</v>
      </c>
      <c r="D14" s="29">
        <v>1</v>
      </c>
      <c r="E14" s="30" t="s">
        <v>39</v>
      </c>
    </row>
    <row r="15" spans="1:5" ht="18" customHeight="1">
      <c r="A15" s="179"/>
      <c r="B15" s="28" t="s">
        <v>18</v>
      </c>
      <c r="C15" s="29" t="s">
        <v>40</v>
      </c>
      <c r="D15" s="29">
        <v>1</v>
      </c>
      <c r="E15" s="31" t="s">
        <v>41</v>
      </c>
    </row>
    <row r="16" spans="1:5" ht="18" customHeight="1">
      <c r="A16" s="179"/>
      <c r="B16" s="28" t="s">
        <v>18</v>
      </c>
      <c r="C16" s="29" t="s">
        <v>42</v>
      </c>
      <c r="D16" s="29">
        <v>1</v>
      </c>
      <c r="E16" s="31" t="s">
        <v>43</v>
      </c>
    </row>
    <row r="17" spans="1:5" ht="18" customHeight="1">
      <c r="A17" s="179"/>
      <c r="B17" s="28" t="s">
        <v>44</v>
      </c>
      <c r="C17" s="29" t="s">
        <v>45</v>
      </c>
      <c r="D17" s="29">
        <v>8</v>
      </c>
      <c r="E17" s="30" t="s">
        <v>46</v>
      </c>
    </row>
    <row r="18" spans="1:5" ht="18" customHeight="1">
      <c r="A18" s="179"/>
      <c r="B18" s="28" t="s">
        <v>44</v>
      </c>
      <c r="C18" s="29" t="s">
        <v>47</v>
      </c>
      <c r="D18" s="29">
        <v>8</v>
      </c>
      <c r="E18" s="30" t="s">
        <v>48</v>
      </c>
    </row>
    <row r="19" spans="1:5" ht="18" customHeight="1">
      <c r="A19" s="179"/>
      <c r="B19" s="28" t="s">
        <v>44</v>
      </c>
      <c r="C19" s="29" t="s">
        <v>49</v>
      </c>
      <c r="D19" s="29">
        <v>8</v>
      </c>
      <c r="E19" s="30" t="s">
        <v>50</v>
      </c>
    </row>
    <row r="20" spans="1:5" ht="18" customHeight="1">
      <c r="A20" s="179"/>
      <c r="B20" s="32" t="s">
        <v>18</v>
      </c>
      <c r="C20" s="33" t="s">
        <v>51</v>
      </c>
      <c r="D20" s="33">
        <v>1</v>
      </c>
      <c r="E20" s="34" t="s">
        <v>52</v>
      </c>
    </row>
    <row r="21" spans="1:5" ht="18" customHeight="1">
      <c r="A21" s="179"/>
      <c r="B21" s="35" t="s">
        <v>28</v>
      </c>
      <c r="C21" s="36" t="s">
        <v>53</v>
      </c>
      <c r="D21" s="36">
        <v>1</v>
      </c>
      <c r="E21" s="37" t="s">
        <v>54</v>
      </c>
    </row>
    <row r="22" spans="1:5" ht="18" customHeight="1">
      <c r="A22" s="179"/>
      <c r="B22" s="35" t="s">
        <v>28</v>
      </c>
      <c r="C22" s="36" t="s">
        <v>55</v>
      </c>
      <c r="D22" s="36">
        <v>1</v>
      </c>
      <c r="E22" s="37" t="s">
        <v>56</v>
      </c>
    </row>
    <row r="23" spans="1:5" ht="18" customHeight="1">
      <c r="A23" s="180"/>
      <c r="B23" s="38" t="s">
        <v>15</v>
      </c>
      <c r="C23" s="39" t="s">
        <v>29</v>
      </c>
      <c r="D23" s="39">
        <v>4</v>
      </c>
      <c r="E23" s="40" t="s">
        <v>29</v>
      </c>
    </row>
    <row r="24" spans="1:5" ht="18" customHeight="1">
      <c r="A24" s="181" t="str">
        <f>"Joint sub-package("&amp;SUM(D24:D25)+SUM(D27:D38)*6&amp;" bytes)"</f>
        <v>Joint sub-package(347 bytes)</v>
      </c>
      <c r="B24" s="41" t="s">
        <v>15</v>
      </c>
      <c r="C24" s="42" t="s">
        <v>57</v>
      </c>
      <c r="D24" s="42">
        <v>4</v>
      </c>
      <c r="E24" s="43" t="s">
        <v>22</v>
      </c>
    </row>
    <row r="25" spans="1:5" ht="18" customHeight="1">
      <c r="A25" s="182"/>
      <c r="B25" s="44" t="s">
        <v>18</v>
      </c>
      <c r="C25" s="45" t="s">
        <v>58</v>
      </c>
      <c r="D25" s="45">
        <v>1</v>
      </c>
      <c r="E25" s="46" t="s">
        <v>59</v>
      </c>
    </row>
    <row r="26" spans="1:5" ht="18" customHeight="1">
      <c r="A26" s="182"/>
      <c r="B26" s="169" t="s">
        <v>60</v>
      </c>
      <c r="C26" s="170"/>
      <c r="D26" s="170"/>
      <c r="E26" s="171"/>
    </row>
    <row r="27" spans="1:5" ht="18" customHeight="1">
      <c r="A27" s="182"/>
      <c r="B27" s="47" t="s">
        <v>44</v>
      </c>
      <c r="C27" s="45" t="s">
        <v>61</v>
      </c>
      <c r="D27" s="45">
        <v>8</v>
      </c>
      <c r="E27" s="46" t="s">
        <v>62</v>
      </c>
    </row>
    <row r="28" spans="1:5" ht="18" customHeight="1">
      <c r="A28" s="182"/>
      <c r="B28" s="47" t="s">
        <v>44</v>
      </c>
      <c r="C28" s="45" t="s">
        <v>63</v>
      </c>
      <c r="D28" s="45">
        <v>8</v>
      </c>
      <c r="E28" s="46" t="s">
        <v>64</v>
      </c>
    </row>
    <row r="29" spans="1:5" ht="18" customHeight="1">
      <c r="A29" s="182"/>
      <c r="B29" s="47" t="s">
        <v>44</v>
      </c>
      <c r="C29" s="45" t="s">
        <v>65</v>
      </c>
      <c r="D29" s="45">
        <v>8</v>
      </c>
      <c r="E29" s="46" t="s">
        <v>66</v>
      </c>
    </row>
    <row r="30" spans="1:5" ht="18" customHeight="1">
      <c r="A30" s="182"/>
      <c r="B30" s="47" t="s">
        <v>15</v>
      </c>
      <c r="C30" s="45" t="s">
        <v>29</v>
      </c>
      <c r="D30" s="45">
        <v>4</v>
      </c>
      <c r="E30" s="46" t="s">
        <v>29</v>
      </c>
    </row>
    <row r="31" spans="1:5" ht="18" customHeight="1">
      <c r="A31" s="182"/>
      <c r="B31" s="47" t="s">
        <v>15</v>
      </c>
      <c r="C31" s="45" t="s">
        <v>29</v>
      </c>
      <c r="D31" s="45">
        <v>4</v>
      </c>
      <c r="E31" s="46" t="s">
        <v>29</v>
      </c>
    </row>
    <row r="32" spans="1:5" ht="18" customHeight="1">
      <c r="A32" s="182"/>
      <c r="B32" s="47" t="s">
        <v>15</v>
      </c>
      <c r="C32" s="45" t="s">
        <v>29</v>
      </c>
      <c r="D32" s="45">
        <v>4</v>
      </c>
      <c r="E32" s="46" t="s">
        <v>29</v>
      </c>
    </row>
    <row r="33" spans="1:5" ht="18" customHeight="1">
      <c r="A33" s="182"/>
      <c r="B33" s="47" t="s">
        <v>68</v>
      </c>
      <c r="C33" s="45" t="s">
        <v>69</v>
      </c>
      <c r="D33" s="45">
        <v>4</v>
      </c>
      <c r="E33" s="46" t="s">
        <v>70</v>
      </c>
    </row>
    <row r="34" spans="1:5" ht="18" customHeight="1">
      <c r="A34" s="182"/>
      <c r="B34" s="47" t="s">
        <v>68</v>
      </c>
      <c r="C34" s="45" t="s">
        <v>71</v>
      </c>
      <c r="D34" s="45">
        <v>4</v>
      </c>
      <c r="E34" s="46" t="s">
        <v>72</v>
      </c>
    </row>
    <row r="35" spans="1:5" ht="18" customHeight="1">
      <c r="A35" s="182"/>
      <c r="B35" s="47" t="s">
        <v>68</v>
      </c>
      <c r="C35" s="45" t="s">
        <v>73</v>
      </c>
      <c r="D35" s="45">
        <v>4</v>
      </c>
      <c r="E35" s="46" t="s">
        <v>74</v>
      </c>
    </row>
    <row r="36" spans="1:5" ht="18" customHeight="1">
      <c r="A36" s="182"/>
      <c r="B36" s="47" t="s">
        <v>68</v>
      </c>
      <c r="C36" s="45" t="s">
        <v>75</v>
      </c>
      <c r="D36" s="45">
        <v>4</v>
      </c>
      <c r="E36" s="46" t="s">
        <v>76</v>
      </c>
    </row>
    <row r="37" spans="1:5" ht="18" customHeight="1">
      <c r="A37" s="182"/>
      <c r="B37" s="47" t="s">
        <v>18</v>
      </c>
      <c r="C37" s="45" t="s">
        <v>77</v>
      </c>
      <c r="D37" s="45">
        <v>1</v>
      </c>
      <c r="E37" s="48" t="s">
        <v>78</v>
      </c>
    </row>
    <row r="38" spans="1:5" ht="18" customHeight="1">
      <c r="A38" s="182"/>
      <c r="B38" s="47" t="s">
        <v>15</v>
      </c>
      <c r="C38" s="45" t="s">
        <v>29</v>
      </c>
      <c r="D38" s="45">
        <v>4</v>
      </c>
      <c r="E38" s="46" t="s">
        <v>29</v>
      </c>
    </row>
    <row r="39" spans="1:5" ht="18" customHeight="1">
      <c r="A39" s="183"/>
      <c r="B39" s="184" t="s">
        <v>80</v>
      </c>
      <c r="C39" s="185"/>
      <c r="D39" s="185"/>
      <c r="E39" s="186"/>
    </row>
    <row r="40" spans="1:5" ht="18" customHeight="1">
      <c r="A40" s="166" t="str">
        <f>"Cartesian sub-package("&amp;SUM(D40:D53)&amp;" bytes)"</f>
        <v>Cartesian sub-package(101 bytes)</v>
      </c>
      <c r="B40" s="49" t="s">
        <v>15</v>
      </c>
      <c r="C40" s="50" t="s">
        <v>81</v>
      </c>
      <c r="D40" s="50">
        <v>4</v>
      </c>
      <c r="E40" s="51" t="s">
        <v>22</v>
      </c>
    </row>
    <row r="41" spans="1:5" ht="18" customHeight="1">
      <c r="A41" s="167"/>
      <c r="B41" s="28" t="s">
        <v>18</v>
      </c>
      <c r="C41" s="29" t="s">
        <v>82</v>
      </c>
      <c r="D41" s="29">
        <v>1</v>
      </c>
      <c r="E41" s="30" t="s">
        <v>83</v>
      </c>
    </row>
    <row r="42" spans="1:5" ht="18" customHeight="1">
      <c r="A42" s="167"/>
      <c r="B42" s="28" t="s">
        <v>44</v>
      </c>
      <c r="C42" s="29" t="s">
        <v>84</v>
      </c>
      <c r="D42" s="29">
        <v>8</v>
      </c>
      <c r="E42" s="30" t="s">
        <v>85</v>
      </c>
    </row>
    <row r="43" spans="1:5" ht="18" customHeight="1">
      <c r="A43" s="167"/>
      <c r="B43" s="28" t="s">
        <v>44</v>
      </c>
      <c r="C43" s="29" t="s">
        <v>86</v>
      </c>
      <c r="D43" s="29">
        <v>8</v>
      </c>
      <c r="E43" s="30" t="s">
        <v>87</v>
      </c>
    </row>
    <row r="44" spans="1:5" ht="18" customHeight="1">
      <c r="A44" s="167"/>
      <c r="B44" s="28" t="s">
        <v>44</v>
      </c>
      <c r="C44" s="29" t="s">
        <v>88</v>
      </c>
      <c r="D44" s="29">
        <v>8</v>
      </c>
      <c r="E44" s="30" t="s">
        <v>89</v>
      </c>
    </row>
    <row r="45" spans="1:5" ht="18" customHeight="1">
      <c r="A45" s="167"/>
      <c r="B45" s="28" t="s">
        <v>44</v>
      </c>
      <c r="C45" s="29" t="s">
        <v>90</v>
      </c>
      <c r="D45" s="29">
        <v>8</v>
      </c>
      <c r="E45" s="30" t="s">
        <v>91</v>
      </c>
    </row>
    <row r="46" spans="1:5" ht="18" customHeight="1">
      <c r="A46" s="167"/>
      <c r="B46" s="28" t="s">
        <v>44</v>
      </c>
      <c r="C46" s="29" t="s">
        <v>92</v>
      </c>
      <c r="D46" s="29">
        <v>8</v>
      </c>
      <c r="E46" s="30" t="s">
        <v>93</v>
      </c>
    </row>
    <row r="47" spans="1:5" ht="18" customHeight="1">
      <c r="A47" s="167"/>
      <c r="B47" s="28" t="s">
        <v>44</v>
      </c>
      <c r="C47" s="29" t="s">
        <v>94</v>
      </c>
      <c r="D47" s="29">
        <v>8</v>
      </c>
      <c r="E47" s="30" t="s">
        <v>95</v>
      </c>
    </row>
    <row r="48" spans="1:5" ht="18" customHeight="1">
      <c r="A48" s="167"/>
      <c r="B48" s="28" t="s">
        <v>44</v>
      </c>
      <c r="C48" s="29" t="s">
        <v>96</v>
      </c>
      <c r="D48" s="29">
        <v>8</v>
      </c>
      <c r="E48" s="30" t="s">
        <v>97</v>
      </c>
    </row>
    <row r="49" spans="1:5" ht="18" customHeight="1">
      <c r="A49" s="167"/>
      <c r="B49" s="28" t="s">
        <v>44</v>
      </c>
      <c r="C49" s="29" t="s">
        <v>98</v>
      </c>
      <c r="D49" s="29">
        <v>8</v>
      </c>
      <c r="E49" s="30" t="s">
        <v>99</v>
      </c>
    </row>
    <row r="50" spans="1:5" ht="18" customHeight="1">
      <c r="A50" s="167"/>
      <c r="B50" s="28" t="s">
        <v>44</v>
      </c>
      <c r="C50" s="29" t="s">
        <v>100</v>
      </c>
      <c r="D50" s="29">
        <v>8</v>
      </c>
      <c r="E50" s="30" t="s">
        <v>101</v>
      </c>
    </row>
    <row r="51" spans="1:5" ht="18" customHeight="1">
      <c r="A51" s="167"/>
      <c r="B51" s="28" t="s">
        <v>44</v>
      </c>
      <c r="C51" s="29" t="s">
        <v>102</v>
      </c>
      <c r="D51" s="29">
        <v>8</v>
      </c>
      <c r="E51" s="30" t="s">
        <v>103</v>
      </c>
    </row>
    <row r="52" spans="1:5" ht="18" customHeight="1">
      <c r="A52" s="167"/>
      <c r="B52" s="28" t="s">
        <v>44</v>
      </c>
      <c r="C52" s="29" t="s">
        <v>104</v>
      </c>
      <c r="D52" s="29">
        <v>8</v>
      </c>
      <c r="E52" s="30" t="s">
        <v>105</v>
      </c>
    </row>
    <row r="53" spans="1:5" ht="18" customHeight="1">
      <c r="A53" s="168"/>
      <c r="B53" s="52" t="s">
        <v>44</v>
      </c>
      <c r="C53" s="53" t="s">
        <v>106</v>
      </c>
      <c r="D53" s="29">
        <v>8</v>
      </c>
      <c r="E53" s="54" t="s">
        <v>107</v>
      </c>
    </row>
    <row r="54" spans="1:5" ht="18" customHeight="1">
      <c r="A54" s="153" t="str">
        <f>"Robot configure sub-package("&amp;SUM(D54:D55)+SUM(D57:D58)*6+SUM(D61:D62)*6+SUM(D64:D68)+D70*6+D73*6+D76*6+D79*6+SUM(D81:D84)&amp;" bytes)"</f>
        <v>Robot configure sub-package(445 bytes)</v>
      </c>
      <c r="B54" s="41" t="s">
        <v>15</v>
      </c>
      <c r="C54" s="42" t="s">
        <v>108</v>
      </c>
      <c r="D54" s="42">
        <v>4</v>
      </c>
      <c r="E54" s="43" t="s">
        <v>22</v>
      </c>
    </row>
    <row r="55" spans="1:5" ht="18" customHeight="1">
      <c r="A55" s="161"/>
      <c r="B55" s="44" t="s">
        <v>18</v>
      </c>
      <c r="C55" s="45" t="s">
        <v>109</v>
      </c>
      <c r="D55" s="45">
        <v>1</v>
      </c>
      <c r="E55" s="46" t="s">
        <v>110</v>
      </c>
    </row>
    <row r="56" spans="1:5" ht="18" customHeight="1">
      <c r="A56" s="161"/>
      <c r="B56" s="169" t="s">
        <v>60</v>
      </c>
      <c r="C56" s="170"/>
      <c r="D56" s="170"/>
      <c r="E56" s="171"/>
    </row>
    <row r="57" spans="1:5" ht="18" customHeight="1">
      <c r="A57" s="161"/>
      <c r="B57" s="44" t="s">
        <v>44</v>
      </c>
      <c r="C57" s="45" t="s">
        <v>111</v>
      </c>
      <c r="D57" s="45">
        <v>8</v>
      </c>
      <c r="E57" s="46" t="s">
        <v>112</v>
      </c>
    </row>
    <row r="58" spans="1:5" ht="18" customHeight="1">
      <c r="A58" s="161"/>
      <c r="B58" s="44" t="s">
        <v>44</v>
      </c>
      <c r="C58" s="45" t="s">
        <v>113</v>
      </c>
      <c r="D58" s="45">
        <v>8</v>
      </c>
      <c r="E58" s="46" t="s">
        <v>114</v>
      </c>
    </row>
    <row r="59" spans="1:5" ht="18" customHeight="1">
      <c r="A59" s="161"/>
      <c r="B59" s="169" t="s">
        <v>80</v>
      </c>
      <c r="C59" s="170"/>
      <c r="D59" s="170"/>
      <c r="E59" s="171"/>
    </row>
    <row r="60" spans="1:5" ht="18" customHeight="1">
      <c r="A60" s="161"/>
      <c r="B60" s="169" t="s">
        <v>60</v>
      </c>
      <c r="C60" s="170"/>
      <c r="D60" s="170"/>
      <c r="E60" s="171"/>
    </row>
    <row r="61" spans="1:5" ht="18" customHeight="1">
      <c r="A61" s="161"/>
      <c r="B61" s="44" t="s">
        <v>44</v>
      </c>
      <c r="C61" s="45" t="s">
        <v>115</v>
      </c>
      <c r="D61" s="45">
        <v>8</v>
      </c>
      <c r="E61" s="46" t="s">
        <v>116</v>
      </c>
    </row>
    <row r="62" spans="1:5" ht="18" customHeight="1">
      <c r="A62" s="161"/>
      <c r="B62" s="44" t="s">
        <v>44</v>
      </c>
      <c r="C62" s="45" t="s">
        <v>117</v>
      </c>
      <c r="D62" s="45">
        <v>8</v>
      </c>
      <c r="E62" s="46" t="s">
        <v>118</v>
      </c>
    </row>
    <row r="63" spans="1:5" ht="18" customHeight="1">
      <c r="A63" s="161"/>
      <c r="B63" s="169" t="s">
        <v>80</v>
      </c>
      <c r="C63" s="170"/>
      <c r="D63" s="170"/>
      <c r="E63" s="171"/>
    </row>
    <row r="64" spans="1:5" ht="18" customHeight="1">
      <c r="A64" s="161"/>
      <c r="B64" s="44" t="s">
        <v>44</v>
      </c>
      <c r="C64" s="45" t="s">
        <v>119</v>
      </c>
      <c r="D64" s="45">
        <v>8</v>
      </c>
      <c r="E64" s="46" t="s">
        <v>120</v>
      </c>
    </row>
    <row r="65" spans="1:5" ht="18" customHeight="1">
      <c r="A65" s="161"/>
      <c r="B65" s="44" t="s">
        <v>44</v>
      </c>
      <c r="C65" s="45" t="s">
        <v>121</v>
      </c>
      <c r="D65" s="45">
        <v>8</v>
      </c>
      <c r="E65" s="46" t="s">
        <v>122</v>
      </c>
    </row>
    <row r="66" spans="1:5" ht="18" customHeight="1">
      <c r="A66" s="161"/>
      <c r="B66" s="44" t="s">
        <v>44</v>
      </c>
      <c r="C66" s="45" t="s">
        <v>123</v>
      </c>
      <c r="D66" s="45">
        <v>8</v>
      </c>
      <c r="E66" s="46" t="s">
        <v>124</v>
      </c>
    </row>
    <row r="67" spans="1:5" ht="18" customHeight="1">
      <c r="A67" s="161"/>
      <c r="B67" s="44" t="s">
        <v>44</v>
      </c>
      <c r="C67" s="45" t="s">
        <v>125</v>
      </c>
      <c r="D67" s="45">
        <v>8</v>
      </c>
      <c r="E67" s="46" t="s">
        <v>126</v>
      </c>
    </row>
    <row r="68" spans="1:5" ht="18" customHeight="1">
      <c r="A68" s="161"/>
      <c r="B68" s="44" t="s">
        <v>44</v>
      </c>
      <c r="C68" s="45" t="s">
        <v>127</v>
      </c>
      <c r="D68" s="45">
        <v>8</v>
      </c>
      <c r="E68" s="46" t="s">
        <v>128</v>
      </c>
    </row>
    <row r="69" spans="1:5" ht="18" customHeight="1">
      <c r="A69" s="161"/>
      <c r="B69" s="169" t="s">
        <v>60</v>
      </c>
      <c r="C69" s="170"/>
      <c r="D69" s="170"/>
      <c r="E69" s="171"/>
    </row>
    <row r="70" spans="1:5" ht="18" customHeight="1">
      <c r="A70" s="161"/>
      <c r="B70" s="44" t="s">
        <v>44</v>
      </c>
      <c r="C70" s="45" t="s">
        <v>129</v>
      </c>
      <c r="D70" s="45">
        <v>8</v>
      </c>
      <c r="E70" s="46" t="s">
        <v>130</v>
      </c>
    </row>
    <row r="71" spans="1:5" ht="18" customHeight="1">
      <c r="A71" s="161"/>
      <c r="B71" s="169" t="s">
        <v>80</v>
      </c>
      <c r="C71" s="170"/>
      <c r="D71" s="170"/>
      <c r="E71" s="171"/>
    </row>
    <row r="72" spans="1:5" ht="18" customHeight="1">
      <c r="A72" s="161"/>
      <c r="B72" s="169" t="s">
        <v>60</v>
      </c>
      <c r="C72" s="170"/>
      <c r="D72" s="170"/>
      <c r="E72" s="171"/>
    </row>
    <row r="73" spans="1:5" ht="18" customHeight="1">
      <c r="A73" s="161"/>
      <c r="B73" s="44" t="s">
        <v>44</v>
      </c>
      <c r="C73" s="45" t="s">
        <v>131</v>
      </c>
      <c r="D73" s="45">
        <v>8</v>
      </c>
      <c r="E73" s="46" t="s">
        <v>132</v>
      </c>
    </row>
    <row r="74" spans="1:5" ht="18" customHeight="1">
      <c r="A74" s="161"/>
      <c r="B74" s="169" t="s">
        <v>80</v>
      </c>
      <c r="C74" s="170"/>
      <c r="D74" s="170"/>
      <c r="E74" s="171"/>
    </row>
    <row r="75" spans="1:5" ht="18" customHeight="1">
      <c r="A75" s="161"/>
      <c r="B75" s="169" t="s">
        <v>60</v>
      </c>
      <c r="C75" s="170"/>
      <c r="D75" s="170"/>
      <c r="E75" s="171"/>
    </row>
    <row r="76" spans="1:5" ht="18" customHeight="1">
      <c r="A76" s="161"/>
      <c r="B76" s="44" t="s">
        <v>44</v>
      </c>
      <c r="C76" s="45" t="s">
        <v>133</v>
      </c>
      <c r="D76" s="45">
        <v>8</v>
      </c>
      <c r="E76" s="46" t="s">
        <v>134</v>
      </c>
    </row>
    <row r="77" spans="1:5" ht="18" customHeight="1">
      <c r="A77" s="161"/>
      <c r="B77" s="169" t="s">
        <v>80</v>
      </c>
      <c r="C77" s="170"/>
      <c r="D77" s="170"/>
      <c r="E77" s="171"/>
    </row>
    <row r="78" spans="1:5" ht="18" customHeight="1">
      <c r="A78" s="161"/>
      <c r="B78" s="170" t="s">
        <v>60</v>
      </c>
      <c r="C78" s="172"/>
      <c r="D78" s="172"/>
      <c r="E78" s="173"/>
    </row>
    <row r="79" spans="1:5" ht="18" customHeight="1">
      <c r="A79" s="161"/>
      <c r="B79" s="44" t="s">
        <v>44</v>
      </c>
      <c r="C79" s="45" t="s">
        <v>29</v>
      </c>
      <c r="D79" s="45">
        <v>8</v>
      </c>
      <c r="E79" s="46" t="s">
        <v>29</v>
      </c>
    </row>
    <row r="80" spans="1:5" ht="18" customHeight="1">
      <c r="A80" s="161"/>
      <c r="B80" s="169" t="s">
        <v>80</v>
      </c>
      <c r="C80" s="170"/>
      <c r="D80" s="170"/>
      <c r="E80" s="171"/>
    </row>
    <row r="81" spans="1:5" ht="18" customHeight="1">
      <c r="A81" s="161"/>
      <c r="B81" s="44" t="s">
        <v>15</v>
      </c>
      <c r="C81" s="45" t="s">
        <v>135</v>
      </c>
      <c r="D81" s="45">
        <v>4</v>
      </c>
      <c r="E81" s="46" t="s">
        <v>136</v>
      </c>
    </row>
    <row r="82" spans="1:5" ht="18" customHeight="1">
      <c r="A82" s="161"/>
      <c r="B82" s="44" t="s">
        <v>15</v>
      </c>
      <c r="C82" s="45" t="s">
        <v>137</v>
      </c>
      <c r="D82" s="45">
        <v>4</v>
      </c>
      <c r="E82" s="46" t="s">
        <v>138</v>
      </c>
    </row>
    <row r="83" spans="1:5" ht="18" customHeight="1">
      <c r="A83" s="161"/>
      <c r="B83" s="44" t="s">
        <v>15</v>
      </c>
      <c r="C83" s="45" t="s">
        <v>139</v>
      </c>
      <c r="D83" s="45">
        <v>4</v>
      </c>
      <c r="E83" s="48" t="s">
        <v>140</v>
      </c>
    </row>
    <row r="84" spans="1:5" ht="18" customHeight="1">
      <c r="A84" s="154"/>
      <c r="B84" s="22" t="s">
        <v>15</v>
      </c>
      <c r="C84" s="23" t="s">
        <v>141</v>
      </c>
      <c r="D84" s="23">
        <v>4</v>
      </c>
      <c r="E84" s="55" t="s">
        <v>142</v>
      </c>
    </row>
    <row r="85" spans="1:5" ht="18" customHeight="1">
      <c r="A85" s="166" t="str">
        <f>"Robot motherboard sub-package("&amp;SUM(D85:D109)&amp;" bytes)"</f>
        <v>Robot motherboard sub-package(88 bytes)</v>
      </c>
      <c r="B85" s="49" t="s">
        <v>15</v>
      </c>
      <c r="C85" s="50" t="s">
        <v>143</v>
      </c>
      <c r="D85" s="50">
        <v>4</v>
      </c>
      <c r="E85" s="51" t="s">
        <v>22</v>
      </c>
    </row>
    <row r="86" spans="1:5" ht="18" customHeight="1">
      <c r="A86" s="167"/>
      <c r="B86" s="28" t="s">
        <v>18</v>
      </c>
      <c r="C86" s="29" t="s">
        <v>144</v>
      </c>
      <c r="D86" s="29">
        <v>1</v>
      </c>
      <c r="E86" s="30" t="s">
        <v>145</v>
      </c>
    </row>
    <row r="87" spans="1:5" ht="18" customHeight="1">
      <c r="A87" s="167"/>
      <c r="B87" s="28" t="s">
        <v>15</v>
      </c>
      <c r="C87" s="29" t="s">
        <v>146</v>
      </c>
      <c r="D87" s="29">
        <v>4</v>
      </c>
      <c r="E87" s="30" t="s">
        <v>250</v>
      </c>
    </row>
    <row r="88" spans="1:5" ht="18" customHeight="1">
      <c r="A88" s="167"/>
      <c r="B88" s="28" t="s">
        <v>15</v>
      </c>
      <c r="C88" s="29" t="s">
        <v>148</v>
      </c>
      <c r="D88" s="29">
        <v>4</v>
      </c>
      <c r="E88" s="30" t="s">
        <v>251</v>
      </c>
    </row>
    <row r="89" spans="1:5" ht="18" customHeight="1">
      <c r="A89" s="167"/>
      <c r="B89" s="28" t="s">
        <v>18</v>
      </c>
      <c r="C89" s="29" t="s">
        <v>150</v>
      </c>
      <c r="D89" s="29">
        <v>1</v>
      </c>
      <c r="E89" s="56" t="s">
        <v>151</v>
      </c>
    </row>
    <row r="90" spans="1:5" ht="18" customHeight="1">
      <c r="A90" s="167"/>
      <c r="B90" s="28" t="s">
        <v>18</v>
      </c>
      <c r="C90" s="29" t="s">
        <v>152</v>
      </c>
      <c r="D90" s="29">
        <v>1</v>
      </c>
      <c r="E90" s="56" t="s">
        <v>153</v>
      </c>
    </row>
    <row r="91" spans="1:5" ht="18" customHeight="1">
      <c r="A91" s="167"/>
      <c r="B91" s="28" t="s">
        <v>18</v>
      </c>
      <c r="C91" s="29" t="s">
        <v>154</v>
      </c>
      <c r="D91" s="29">
        <v>1</v>
      </c>
      <c r="E91" s="56" t="s">
        <v>155</v>
      </c>
    </row>
    <row r="92" spans="1:5" ht="18" customHeight="1">
      <c r="A92" s="167"/>
      <c r="B92" s="28" t="s">
        <v>44</v>
      </c>
      <c r="C92" s="29" t="s">
        <v>156</v>
      </c>
      <c r="D92" s="29">
        <v>8</v>
      </c>
      <c r="E92" s="30" t="s">
        <v>157</v>
      </c>
    </row>
    <row r="93" spans="1:5" ht="18" customHeight="1">
      <c r="A93" s="167"/>
      <c r="B93" s="28" t="s">
        <v>44</v>
      </c>
      <c r="C93" s="29" t="s">
        <v>158</v>
      </c>
      <c r="D93" s="29">
        <v>8</v>
      </c>
      <c r="E93" s="30" t="s">
        <v>159</v>
      </c>
    </row>
    <row r="94" spans="1:5" ht="18" customHeight="1">
      <c r="A94" s="167"/>
      <c r="B94" s="28" t="s">
        <v>44</v>
      </c>
      <c r="C94" s="29" t="s">
        <v>160</v>
      </c>
      <c r="D94" s="29">
        <v>8</v>
      </c>
      <c r="E94" s="30" t="s">
        <v>161</v>
      </c>
    </row>
    <row r="95" spans="1:5" ht="18" customHeight="1">
      <c r="A95" s="167"/>
      <c r="B95" s="28" t="s">
        <v>18</v>
      </c>
      <c r="C95" s="29" t="s">
        <v>162</v>
      </c>
      <c r="D95" s="29">
        <v>1</v>
      </c>
      <c r="E95" s="56" t="s">
        <v>163</v>
      </c>
    </row>
    <row r="96" spans="1:5" ht="18" customHeight="1">
      <c r="A96" s="167"/>
      <c r="B96" s="28" t="s">
        <v>18</v>
      </c>
      <c r="C96" s="29" t="s">
        <v>164</v>
      </c>
      <c r="D96" s="29">
        <v>1</v>
      </c>
      <c r="E96" s="56" t="s">
        <v>165</v>
      </c>
    </row>
    <row r="97" spans="1:5" ht="18" customHeight="1">
      <c r="A97" s="167"/>
      <c r="B97" s="28" t="s">
        <v>18</v>
      </c>
      <c r="C97" s="29" t="s">
        <v>166</v>
      </c>
      <c r="D97" s="29">
        <v>1</v>
      </c>
      <c r="E97" s="56" t="s">
        <v>167</v>
      </c>
    </row>
    <row r="98" spans="1:5" ht="18" customHeight="1">
      <c r="A98" s="167"/>
      <c r="B98" s="28" t="s">
        <v>44</v>
      </c>
      <c r="C98" s="29" t="s">
        <v>168</v>
      </c>
      <c r="D98" s="29">
        <v>8</v>
      </c>
      <c r="E98" s="30" t="s">
        <v>169</v>
      </c>
    </row>
    <row r="99" spans="1:5" ht="18" customHeight="1">
      <c r="A99" s="167"/>
      <c r="B99" s="28" t="s">
        <v>44</v>
      </c>
      <c r="C99" s="29" t="s">
        <v>170</v>
      </c>
      <c r="D99" s="29">
        <v>8</v>
      </c>
      <c r="E99" s="30" t="s">
        <v>171</v>
      </c>
    </row>
    <row r="100" spans="1:5" ht="18" customHeight="1">
      <c r="A100" s="167"/>
      <c r="B100" s="28" t="s">
        <v>44</v>
      </c>
      <c r="C100" s="29" t="s">
        <v>172</v>
      </c>
      <c r="D100" s="29">
        <v>8</v>
      </c>
      <c r="E100" s="30" t="s">
        <v>173</v>
      </c>
    </row>
    <row r="101" spans="1:5" ht="18" customHeight="1">
      <c r="A101" s="167"/>
      <c r="B101" s="28" t="s">
        <v>68</v>
      </c>
      <c r="C101" s="29" t="s">
        <v>174</v>
      </c>
      <c r="D101" s="29">
        <v>4</v>
      </c>
      <c r="E101" s="30" t="s">
        <v>175</v>
      </c>
    </row>
    <row r="102" spans="1:5" ht="18" customHeight="1">
      <c r="A102" s="167"/>
      <c r="B102" s="28" t="s">
        <v>68</v>
      </c>
      <c r="C102" s="29" t="s">
        <v>176</v>
      </c>
      <c r="D102" s="29">
        <v>4</v>
      </c>
      <c r="E102" s="30" t="s">
        <v>177</v>
      </c>
    </row>
    <row r="103" spans="1:5" ht="18" customHeight="1">
      <c r="A103" s="167"/>
      <c r="B103" s="28" t="s">
        <v>68</v>
      </c>
      <c r="C103" s="29" t="s">
        <v>178</v>
      </c>
      <c r="D103" s="29">
        <v>4</v>
      </c>
      <c r="E103" s="30" t="s">
        <v>179</v>
      </c>
    </row>
    <row r="104" spans="1:5" ht="18" customHeight="1">
      <c r="A104" s="167"/>
      <c r="B104" s="28" t="s">
        <v>68</v>
      </c>
      <c r="C104" s="29" t="s">
        <v>180</v>
      </c>
      <c r="D104" s="29">
        <v>4</v>
      </c>
      <c r="E104" s="30" t="s">
        <v>181</v>
      </c>
    </row>
    <row r="105" spans="1:5" ht="18" customHeight="1">
      <c r="A105" s="167"/>
      <c r="B105" s="28" t="s">
        <v>18</v>
      </c>
      <c r="C105" s="29" t="s">
        <v>182</v>
      </c>
      <c r="D105" s="29">
        <v>1</v>
      </c>
      <c r="E105" s="31" t="s">
        <v>183</v>
      </c>
    </row>
    <row r="106" spans="1:5" ht="18" customHeight="1">
      <c r="A106" s="167"/>
      <c r="B106" s="28" t="s">
        <v>28</v>
      </c>
      <c r="C106" s="29" t="s">
        <v>184</v>
      </c>
      <c r="D106" s="29">
        <v>1</v>
      </c>
      <c r="E106" s="30" t="s">
        <v>185</v>
      </c>
    </row>
    <row r="107" spans="1:5" ht="18" customHeight="1">
      <c r="A107" s="167"/>
      <c r="B107" s="28" t="s">
        <v>28</v>
      </c>
      <c r="C107" s="29" t="s">
        <v>186</v>
      </c>
      <c r="D107" s="29">
        <v>1</v>
      </c>
      <c r="E107" s="30" t="s">
        <v>187</v>
      </c>
    </row>
    <row r="108" spans="1:5" ht="18" customHeight="1">
      <c r="A108" s="167"/>
      <c r="B108" s="28" t="s">
        <v>28</v>
      </c>
      <c r="C108" s="29" t="s">
        <v>29</v>
      </c>
      <c r="D108" s="29">
        <v>1</v>
      </c>
      <c r="E108" s="30" t="s">
        <v>29</v>
      </c>
    </row>
    <row r="109" spans="1:5" ht="18" customHeight="1">
      <c r="A109" s="168"/>
      <c r="B109" s="52" t="s">
        <v>18</v>
      </c>
      <c r="C109" s="53" t="s">
        <v>190</v>
      </c>
      <c r="D109" s="53">
        <v>1</v>
      </c>
      <c r="E109" s="57" t="s">
        <v>191</v>
      </c>
    </row>
    <row r="110" spans="1:5" ht="18" customHeight="1">
      <c r="A110" s="153" t="str">
        <f>"Robot additional information sub-package("&amp;SUM(D110:D116)&amp;" bytes)"</f>
        <v>Robot additional information sub-package(10 bytes)</v>
      </c>
      <c r="B110" s="41" t="s">
        <v>15</v>
      </c>
      <c r="C110" s="42" t="s">
        <v>192</v>
      </c>
      <c r="D110" s="42">
        <v>4</v>
      </c>
      <c r="E110" s="43" t="s">
        <v>22</v>
      </c>
    </row>
    <row r="111" spans="1:5" ht="18" customHeight="1">
      <c r="A111" s="161"/>
      <c r="B111" s="44" t="s">
        <v>18</v>
      </c>
      <c r="C111" s="45" t="s">
        <v>193</v>
      </c>
      <c r="D111" s="45">
        <v>1</v>
      </c>
      <c r="E111" s="46" t="s">
        <v>194</v>
      </c>
    </row>
    <row r="112" spans="1:5" ht="18" customHeight="1">
      <c r="A112" s="161"/>
      <c r="B112" s="44" t="s">
        <v>28</v>
      </c>
      <c r="C112" s="45" t="s">
        <v>195</v>
      </c>
      <c r="D112" s="45">
        <v>1</v>
      </c>
      <c r="E112" s="46" t="s">
        <v>196</v>
      </c>
    </row>
    <row r="113" spans="1:5" ht="18" customHeight="1">
      <c r="A113" s="161"/>
      <c r="B113" s="44" t="s">
        <v>28</v>
      </c>
      <c r="C113" s="45" t="s">
        <v>29</v>
      </c>
      <c r="D113" s="45">
        <v>1</v>
      </c>
      <c r="E113" s="46" t="s">
        <v>29</v>
      </c>
    </row>
    <row r="114" spans="1:5" ht="18" customHeight="1">
      <c r="A114" s="161"/>
      <c r="B114" s="44" t="s">
        <v>28</v>
      </c>
      <c r="C114" s="45" t="s">
        <v>197</v>
      </c>
      <c r="D114" s="45">
        <v>1</v>
      </c>
      <c r="E114" s="46" t="s">
        <v>198</v>
      </c>
    </row>
    <row r="115" spans="1:5" ht="18" customHeight="1">
      <c r="A115" s="165"/>
      <c r="B115" s="58" t="s">
        <v>28</v>
      </c>
      <c r="C115" s="59" t="s">
        <v>199</v>
      </c>
      <c r="D115" s="59">
        <v>1</v>
      </c>
      <c r="E115" s="60" t="s">
        <v>200</v>
      </c>
    </row>
    <row r="116" spans="1:5" ht="18" customHeight="1">
      <c r="A116" s="154"/>
      <c r="B116" s="22" t="s">
        <v>18</v>
      </c>
      <c r="C116" s="23" t="s">
        <v>29</v>
      </c>
      <c r="D116" s="23">
        <v>1</v>
      </c>
      <c r="E116" s="24" t="s">
        <v>29</v>
      </c>
    </row>
    <row r="117" spans="1:5" ht="18" customHeight="1">
      <c r="A117" s="178" t="str">
        <f>"ELITE internal use sub-package("&amp;SUM(D117:D119)&amp;" bytes)"</f>
        <v>ELITE internal use sub-package(12 bytes)</v>
      </c>
      <c r="B117" s="61" t="s">
        <v>15</v>
      </c>
      <c r="C117" s="62" t="s">
        <v>252</v>
      </c>
      <c r="D117" s="62">
        <v>4</v>
      </c>
      <c r="E117" s="63" t="s">
        <v>22</v>
      </c>
    </row>
    <row r="118" spans="1:5" ht="18" customHeight="1">
      <c r="A118" s="179"/>
      <c r="B118" s="28" t="s">
        <v>18</v>
      </c>
      <c r="C118" s="29" t="s">
        <v>253</v>
      </c>
      <c r="D118" s="29">
        <v>1</v>
      </c>
      <c r="E118" s="64" t="s">
        <v>254</v>
      </c>
    </row>
    <row r="119" spans="1:5" ht="18" customHeight="1">
      <c r="A119" s="180"/>
      <c r="B119" s="65" t="s">
        <v>255</v>
      </c>
      <c r="C119" s="66" t="s">
        <v>256</v>
      </c>
      <c r="D119" s="66">
        <v>7</v>
      </c>
      <c r="E119" s="67" t="s">
        <v>257</v>
      </c>
    </row>
    <row r="120" spans="1:5" ht="18" customHeight="1">
      <c r="A120" s="153" t="str">
        <f>"Robot tool data sub-package("&amp;SUM(D120:D130)&amp;" bytes)"</f>
        <v>Robot tool data sub-package(37 bytes)</v>
      </c>
      <c r="B120" s="41" t="s">
        <v>15</v>
      </c>
      <c r="C120" s="42" t="s">
        <v>201</v>
      </c>
      <c r="D120" s="42">
        <v>4</v>
      </c>
      <c r="E120" s="43" t="s">
        <v>22</v>
      </c>
    </row>
    <row r="121" spans="1:5" ht="18" customHeight="1">
      <c r="A121" s="161"/>
      <c r="B121" s="44" t="s">
        <v>18</v>
      </c>
      <c r="C121" s="45" t="s">
        <v>202</v>
      </c>
      <c r="D121" s="45">
        <v>1</v>
      </c>
      <c r="E121" s="46" t="s">
        <v>203</v>
      </c>
    </row>
    <row r="122" spans="1:5" ht="18" customHeight="1">
      <c r="A122" s="161"/>
      <c r="B122" s="44" t="s">
        <v>18</v>
      </c>
      <c r="C122" s="45" t="s">
        <v>166</v>
      </c>
      <c r="D122" s="45">
        <v>1</v>
      </c>
      <c r="E122" s="48" t="s">
        <v>204</v>
      </c>
    </row>
    <row r="123" spans="1:5" ht="18" customHeight="1">
      <c r="A123" s="161"/>
      <c r="B123" s="44" t="s">
        <v>18</v>
      </c>
      <c r="C123" s="45" t="s">
        <v>154</v>
      </c>
      <c r="D123" s="45">
        <v>1</v>
      </c>
      <c r="E123" s="48" t="s">
        <v>205</v>
      </c>
    </row>
    <row r="124" spans="1:5" ht="18" customHeight="1">
      <c r="A124" s="161"/>
      <c r="B124" s="44" t="s">
        <v>44</v>
      </c>
      <c r="C124" s="45" t="s">
        <v>172</v>
      </c>
      <c r="D124" s="45">
        <v>8</v>
      </c>
      <c r="E124" s="46" t="s">
        <v>206</v>
      </c>
    </row>
    <row r="125" spans="1:5" ht="18" customHeight="1">
      <c r="A125" s="161"/>
      <c r="B125" s="44" t="s">
        <v>44</v>
      </c>
      <c r="C125" s="45" t="s">
        <v>160</v>
      </c>
      <c r="D125" s="45">
        <v>8</v>
      </c>
      <c r="E125" s="46" t="s">
        <v>207</v>
      </c>
    </row>
    <row r="126" spans="1:5" ht="18" customHeight="1">
      <c r="A126" s="161"/>
      <c r="B126" s="44" t="s">
        <v>68</v>
      </c>
      <c r="C126" s="45" t="s">
        <v>208</v>
      </c>
      <c r="D126" s="45">
        <v>4</v>
      </c>
      <c r="E126" s="46" t="s">
        <v>209</v>
      </c>
    </row>
    <row r="127" spans="1:5" ht="18" customHeight="1">
      <c r="A127" s="161"/>
      <c r="B127" s="44" t="s">
        <v>18</v>
      </c>
      <c r="C127" s="45" t="s">
        <v>210</v>
      </c>
      <c r="D127" s="45">
        <v>1</v>
      </c>
      <c r="E127" s="48" t="s">
        <v>211</v>
      </c>
    </row>
    <row r="128" spans="1:5" ht="18" customHeight="1">
      <c r="A128" s="161"/>
      <c r="B128" s="44" t="s">
        <v>68</v>
      </c>
      <c r="C128" s="45" t="s">
        <v>212</v>
      </c>
      <c r="D128" s="45">
        <v>4</v>
      </c>
      <c r="E128" s="46" t="s">
        <v>213</v>
      </c>
    </row>
    <row r="129" spans="1:5" ht="18" customHeight="1">
      <c r="A129" s="161"/>
      <c r="B129" s="44" t="s">
        <v>68</v>
      </c>
      <c r="C129" s="45" t="s">
        <v>214</v>
      </c>
      <c r="D129" s="45">
        <v>4</v>
      </c>
      <c r="E129" s="46" t="s">
        <v>215</v>
      </c>
    </row>
    <row r="130" spans="1:5" ht="18" customHeight="1">
      <c r="A130" s="154"/>
      <c r="B130" s="22" t="s">
        <v>18</v>
      </c>
      <c r="C130" s="23" t="s">
        <v>216</v>
      </c>
      <c r="D130" s="23">
        <v>1</v>
      </c>
      <c r="E130" s="55" t="s">
        <v>217</v>
      </c>
    </row>
    <row r="131" spans="1:5" ht="18" customHeight="1">
      <c r="A131" s="187" t="str">
        <f>"Robot satety mode sub-package("&amp;SUM(D131:D139)&amp;" bytes)"</f>
        <v>Robot satety mode sub-package(43 bytes)</v>
      </c>
      <c r="B131" s="68" t="s">
        <v>15</v>
      </c>
      <c r="C131" s="69" t="s">
        <v>218</v>
      </c>
      <c r="D131" s="69">
        <v>4</v>
      </c>
      <c r="E131" s="70" t="s">
        <v>22</v>
      </c>
    </row>
    <row r="132" spans="1:5" ht="18" customHeight="1">
      <c r="A132" s="188"/>
      <c r="B132" s="71" t="s">
        <v>18</v>
      </c>
      <c r="C132" s="72" t="s">
        <v>219</v>
      </c>
      <c r="D132" s="72">
        <v>1</v>
      </c>
      <c r="E132" s="64" t="s">
        <v>220</v>
      </c>
    </row>
    <row r="133" spans="1:5" ht="18" customHeight="1">
      <c r="A133" s="188"/>
      <c r="B133" s="71" t="s">
        <v>15</v>
      </c>
      <c r="C133" s="72" t="s">
        <v>221</v>
      </c>
      <c r="D133" s="72">
        <v>4</v>
      </c>
      <c r="E133" s="64" t="s">
        <v>222</v>
      </c>
    </row>
    <row r="134" spans="1:5" ht="18" customHeight="1">
      <c r="A134" s="188"/>
      <c r="B134" s="71" t="s">
        <v>223</v>
      </c>
      <c r="C134" s="72" t="s">
        <v>224</v>
      </c>
      <c r="D134" s="72">
        <v>1</v>
      </c>
      <c r="E134" s="73" t="s">
        <v>225</v>
      </c>
    </row>
    <row r="135" spans="1:5" ht="18" customHeight="1">
      <c r="A135" s="188"/>
      <c r="B135" s="71" t="s">
        <v>18</v>
      </c>
      <c r="C135" s="72" t="s">
        <v>29</v>
      </c>
      <c r="D135" s="72">
        <v>1</v>
      </c>
      <c r="E135" s="64" t="s">
        <v>29</v>
      </c>
    </row>
    <row r="136" spans="1:5" ht="18" customHeight="1">
      <c r="A136" s="188"/>
      <c r="B136" s="71" t="s">
        <v>44</v>
      </c>
      <c r="C136" s="72" t="s">
        <v>226</v>
      </c>
      <c r="D136" s="72">
        <v>8</v>
      </c>
      <c r="E136" s="64" t="s">
        <v>227</v>
      </c>
    </row>
    <row r="137" spans="1:5" ht="18" customHeight="1">
      <c r="A137" s="188"/>
      <c r="B137" s="71" t="s">
        <v>44</v>
      </c>
      <c r="C137" s="72" t="s">
        <v>228</v>
      </c>
      <c r="D137" s="72">
        <v>8</v>
      </c>
      <c r="E137" s="64" t="s">
        <v>229</v>
      </c>
    </row>
    <row r="138" spans="1:5" ht="18" customHeight="1">
      <c r="A138" s="188"/>
      <c r="B138" s="71" t="s">
        <v>44</v>
      </c>
      <c r="C138" s="72" t="s">
        <v>230</v>
      </c>
      <c r="D138" s="72">
        <v>8</v>
      </c>
      <c r="E138" s="64" t="s">
        <v>231</v>
      </c>
    </row>
    <row r="139" spans="1:5" ht="18" customHeight="1">
      <c r="A139" s="189"/>
      <c r="B139" s="38" t="s">
        <v>44</v>
      </c>
      <c r="C139" s="39" t="s">
        <v>232</v>
      </c>
      <c r="D139" s="39">
        <v>8</v>
      </c>
      <c r="E139" s="74" t="s">
        <v>233</v>
      </c>
    </row>
    <row r="140" spans="1:5" ht="18" customHeight="1">
      <c r="A140" s="153" t="str">
        <f>"Robot communication sub-package("&amp;SUM(D140:D148)&amp;" bytes)"</f>
        <v>Robot communication sub-package(27 bytes)</v>
      </c>
      <c r="B140" s="41" t="s">
        <v>15</v>
      </c>
      <c r="C140" s="42" t="s">
        <v>234</v>
      </c>
      <c r="D140" s="42">
        <v>4</v>
      </c>
      <c r="E140" s="43" t="s">
        <v>22</v>
      </c>
    </row>
    <row r="141" spans="1:5" ht="18" customHeight="1">
      <c r="A141" s="161"/>
      <c r="B141" s="44" t="s">
        <v>18</v>
      </c>
      <c r="C141" s="45" t="s">
        <v>258</v>
      </c>
      <c r="D141" s="45">
        <v>1</v>
      </c>
      <c r="E141" s="46" t="s">
        <v>236</v>
      </c>
    </row>
    <row r="142" spans="1:5" ht="18" customHeight="1">
      <c r="A142" s="161"/>
      <c r="B142" s="44" t="s">
        <v>28</v>
      </c>
      <c r="C142" s="45" t="s">
        <v>237</v>
      </c>
      <c r="D142" s="45">
        <v>1</v>
      </c>
      <c r="E142" s="46" t="s">
        <v>238</v>
      </c>
    </row>
    <row r="143" spans="1:5" ht="18" customHeight="1">
      <c r="A143" s="161"/>
      <c r="B143" s="44" t="s">
        <v>15</v>
      </c>
      <c r="C143" s="45" t="s">
        <v>239</v>
      </c>
      <c r="D143" s="45">
        <v>4</v>
      </c>
      <c r="E143" s="46" t="s">
        <v>240</v>
      </c>
    </row>
    <row r="144" spans="1:5" ht="18" customHeight="1">
      <c r="A144" s="161"/>
      <c r="B144" s="44" t="s">
        <v>15</v>
      </c>
      <c r="C144" s="45" t="s">
        <v>241</v>
      </c>
      <c r="D144" s="45">
        <v>4</v>
      </c>
      <c r="E144" s="75" t="s">
        <v>242</v>
      </c>
    </row>
    <row r="145" spans="1:5" ht="18" customHeight="1">
      <c r="A145" s="161"/>
      <c r="B145" s="44" t="s">
        <v>15</v>
      </c>
      <c r="C145" s="45" t="s">
        <v>243</v>
      </c>
      <c r="D145" s="45">
        <v>4</v>
      </c>
      <c r="E145" s="75" t="s">
        <v>244</v>
      </c>
    </row>
    <row r="146" spans="1:5" ht="18" customHeight="1">
      <c r="A146" s="161"/>
      <c r="B146" s="44" t="s">
        <v>28</v>
      </c>
      <c r="C146" s="45" t="s">
        <v>245</v>
      </c>
      <c r="D146" s="45">
        <v>1</v>
      </c>
      <c r="E146" s="75" t="s">
        <v>246</v>
      </c>
    </row>
    <row r="147" spans="1:5" ht="18" customHeight="1">
      <c r="A147" s="161"/>
      <c r="B147" s="44" t="s">
        <v>68</v>
      </c>
      <c r="C147" s="45" t="s">
        <v>29</v>
      </c>
      <c r="D147" s="45">
        <v>4</v>
      </c>
      <c r="E147" s="46" t="s">
        <v>29</v>
      </c>
    </row>
    <row r="148" spans="1:5" ht="18" customHeight="1">
      <c r="A148" s="161"/>
      <c r="B148" s="22" t="s">
        <v>68</v>
      </c>
      <c r="C148" s="23" t="s">
        <v>29</v>
      </c>
      <c r="D148" s="23">
        <v>4</v>
      </c>
      <c r="E148" s="24" t="s">
        <v>29</v>
      </c>
    </row>
    <row r="149" spans="1:5" ht="18" customHeight="1">
      <c r="A149" s="178" t="str">
        <f>"ELITE internal use sub-package("&amp;SUM(D149:D151)&amp;" bytes)"</f>
        <v>ELITE internal use sub-package(360 bytes)</v>
      </c>
      <c r="B149" s="76" t="s">
        <v>15</v>
      </c>
      <c r="C149" s="77" t="s">
        <v>259</v>
      </c>
      <c r="D149" s="78">
        <v>4</v>
      </c>
      <c r="E149" s="79" t="s">
        <v>22</v>
      </c>
    </row>
    <row r="150" spans="1:5" ht="18" customHeight="1">
      <c r="A150" s="179"/>
      <c r="B150" s="80" t="s">
        <v>18</v>
      </c>
      <c r="C150" s="81" t="s">
        <v>248</v>
      </c>
      <c r="D150" s="72">
        <v>1</v>
      </c>
      <c r="E150" s="64" t="s">
        <v>260</v>
      </c>
    </row>
    <row r="151" spans="1:5" ht="18" customHeight="1">
      <c r="A151" s="180"/>
      <c r="B151" s="82" t="s">
        <v>255</v>
      </c>
      <c r="C151" s="83" t="s">
        <v>256</v>
      </c>
      <c r="D151" s="83">
        <v>355</v>
      </c>
      <c r="E151" s="74" t="s">
        <v>257</v>
      </c>
    </row>
  </sheetData>
  <mergeCells count="27">
    <mergeCell ref="A149:A151"/>
    <mergeCell ref="A85:A109"/>
    <mergeCell ref="A110:A116"/>
    <mergeCell ref="A117:A119"/>
    <mergeCell ref="A120:A130"/>
    <mergeCell ref="A131:A139"/>
    <mergeCell ref="B75:E75"/>
    <mergeCell ref="B77:E77"/>
    <mergeCell ref="B78:E78"/>
    <mergeCell ref="B80:E80"/>
    <mergeCell ref="A140:A148"/>
    <mergeCell ref="A1:E1"/>
    <mergeCell ref="B26:E26"/>
    <mergeCell ref="B39:E39"/>
    <mergeCell ref="B56:E56"/>
    <mergeCell ref="B59:E59"/>
    <mergeCell ref="A3:A4"/>
    <mergeCell ref="A5:A23"/>
    <mergeCell ref="A24:A39"/>
    <mergeCell ref="A40:A53"/>
    <mergeCell ref="A54:A84"/>
    <mergeCell ref="B60:E60"/>
    <mergeCell ref="B63:E63"/>
    <mergeCell ref="B69:E69"/>
    <mergeCell ref="B71:E71"/>
    <mergeCell ref="B72:E72"/>
    <mergeCell ref="B74:E74"/>
  </mergeCells>
  <phoneticPr fontId="17" type="noConversion"/>
  <hyperlinks>
    <hyperlink ref="E15" location="ROBOT_MODE!A1" display="Robot mode: Details ROBOT_MODE" xr:uid="{00000000-0004-0000-0200-000000000000}"/>
    <hyperlink ref="E16" location="ROBOT_CONTROL_MODE!A1" display="Robot control mode: Details ROBOT_CONTROL_MODE" xr:uid="{00000000-0004-0000-0200-000001000000}"/>
    <hyperlink ref="E37" location="JOINT_AND_TOOL_MODE!A1" display="Joint mode. Details: JOINT_AND_TOOL_MODE" xr:uid="{00000000-0004-0000-0200-000002000000}"/>
    <hyperlink ref="E83" location="ROBOT_TYPE!A1" display="Robot Type. Details: ROBOT_TYPE" xr:uid="{00000000-0004-0000-0200-000003000000}"/>
    <hyperlink ref="E84" location="ROBOT_STRUCTURE_TYPE!A1" display="Robot structure type. Details: ROBOT_STRUCTURE_TYPE" xr:uid="{00000000-0004-0000-0200-000004000000}"/>
    <hyperlink ref="E89:E90" location="ANALOG_DOMAIN!A1" display="Analog input IO0 configure, Details: ANALOG_DOMAIN" xr:uid="{00000000-0004-0000-0200-000005000000}"/>
    <hyperlink ref="E91" location="ANALOG_DOMAIN!A1" display="Tool analog IO configure, Details: ANALOG_DOMAIN" xr:uid="{00000000-0004-0000-0200-000006000000}"/>
    <hyperlink ref="E95:E96" location="ANALOG_DOMAIN!A1" display="Analog output IO0 configure. Details: ANALOG_DOMAIN" xr:uid="{00000000-0004-0000-0200-000007000000}"/>
    <hyperlink ref="E97" location="ANALOG_DOMAIN!A1" display="Tool analog output io configure. Details: ANALOG_DOMAIN" xr:uid="{00000000-0004-0000-0200-000008000000}"/>
    <hyperlink ref="E105" location="SAFETY_MODE!A1" display="Motherboard aggregated mode. Details: SAFETY_MODE" xr:uid="{00000000-0004-0000-0200-000009000000}"/>
    <hyperlink ref="E130" location="JOINT_AND_TOOL_MODE!A1" display="Tool mode. Details: JOINT_AND_TOOL_MODE" xr:uid="{00000000-0004-0000-0200-00000A000000}"/>
    <hyperlink ref="E122" location="ANALOG_DOMAIN!A1" display="Tool analog IO output configure. Details: ANALOG_DOMAIN" xr:uid="{00000000-0004-0000-0200-00000B000000}"/>
    <hyperlink ref="E123" location="ANALOG_DOMAIN!A1" display="Tool analog IO input configure. Details: ANALOG_DOMAIN" xr:uid="{00000000-0004-0000-0200-00000C000000}"/>
    <hyperlink ref="E127" location="TOOL_OUTPUT_VOLTAGE!A1" display="Tool output voltage. Details: TOOL_OUTPUT_VOLTAGE" xr:uid="{00000000-0004-0000-0200-00000D000000}"/>
    <hyperlink ref="A1:E1" location="报文格式!A1" display="Robot's State Package（Format: Package Format）" xr:uid="{00000000-0004-0000-0200-00000E000000}"/>
    <hyperlink ref="E134" location="SAFETY_OPERATIONAL_MODE!A1" display="Robot safety operation mode. Deltails: SAFETY_OPERATIONAL_MODE" xr:uid="{00000000-0004-0000-0200-00000F000000}"/>
    <hyperlink ref="E109" location="SAFETY_MODE!A1" display="Motherboard mode. Details: SAFETY_MODE" xr:uid="{00000000-0004-0000-0200-000010000000}"/>
    <hyperlink ref="E20" location="ROBOT_SPEED_MODE!A1" display="Robot speed mode, Details: ROBOT_SPEED_MODE" xr:uid="{00000000-0004-0000-0200-000011000000}"/>
  </hyperlink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9"/>
  <sheetViews>
    <sheetView workbookViewId="0">
      <selection activeCell="F16" sqref="F16"/>
    </sheetView>
  </sheetViews>
  <sheetFormatPr defaultColWidth="9" defaultRowHeight="16.5"/>
  <cols>
    <col min="1" max="1" width="10.625" customWidth="1"/>
    <col min="2" max="2" width="52.75" customWidth="1"/>
  </cols>
  <sheetData>
    <row r="1" spans="1:2">
      <c r="A1" s="190" t="s">
        <v>261</v>
      </c>
      <c r="B1" s="191"/>
    </row>
    <row r="2" spans="1:2">
      <c r="A2" s="8" t="s">
        <v>262</v>
      </c>
      <c r="B2" s="194" t="s">
        <v>17</v>
      </c>
    </row>
    <row r="3" spans="1:2">
      <c r="A3" s="8"/>
      <c r="B3" s="194"/>
    </row>
    <row r="4" spans="1:2">
      <c r="A4" s="8"/>
      <c r="B4" s="194"/>
    </row>
    <row r="5" spans="1:2">
      <c r="A5" s="8"/>
      <c r="B5" s="194"/>
    </row>
    <row r="6" spans="1:2">
      <c r="A6" s="8" t="s">
        <v>263</v>
      </c>
      <c r="B6" s="9" t="s">
        <v>20</v>
      </c>
    </row>
    <row r="7" spans="1:2">
      <c r="A7" s="10" t="s">
        <v>262</v>
      </c>
      <c r="B7" s="195" t="s">
        <v>22</v>
      </c>
    </row>
    <row r="8" spans="1:2">
      <c r="A8" s="10"/>
      <c r="B8" s="195"/>
    </row>
    <row r="9" spans="1:2">
      <c r="A9" s="10"/>
      <c r="B9" s="195"/>
    </row>
    <row r="10" spans="1:2">
      <c r="A10" s="10"/>
      <c r="B10" s="195"/>
    </row>
    <row r="11" spans="1:2">
      <c r="A11" s="10" t="s">
        <v>263</v>
      </c>
      <c r="B11" s="11" t="s">
        <v>264</v>
      </c>
    </row>
    <row r="12" spans="1:2">
      <c r="A12" s="10" t="s">
        <v>265</v>
      </c>
      <c r="B12" s="11" t="s">
        <v>266</v>
      </c>
    </row>
    <row r="13" spans="1:2">
      <c r="A13" s="8" t="s">
        <v>262</v>
      </c>
      <c r="B13" s="194" t="s">
        <v>22</v>
      </c>
    </row>
    <row r="14" spans="1:2">
      <c r="A14" s="8"/>
      <c r="B14" s="194"/>
    </row>
    <row r="15" spans="1:2">
      <c r="A15" s="8"/>
      <c r="B15" s="194"/>
    </row>
    <row r="16" spans="1:2">
      <c r="A16" s="8"/>
      <c r="B16" s="194"/>
    </row>
    <row r="17" spans="1:2">
      <c r="A17" s="8" t="s">
        <v>263</v>
      </c>
      <c r="B17" s="9" t="s">
        <v>264</v>
      </c>
    </row>
    <row r="18" spans="1:2">
      <c r="A18" s="8" t="s">
        <v>265</v>
      </c>
      <c r="B18" s="9" t="s">
        <v>266</v>
      </c>
    </row>
    <row r="19" spans="1:2">
      <c r="A19" s="192" t="s">
        <v>267</v>
      </c>
      <c r="B19" s="193"/>
    </row>
  </sheetData>
  <mergeCells count="5">
    <mergeCell ref="A1:B1"/>
    <mergeCell ref="A19:B19"/>
    <mergeCell ref="B2:B5"/>
    <mergeCell ref="B7:B10"/>
    <mergeCell ref="B13:B16"/>
  </mergeCells>
  <phoneticPr fontId="1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81AAF-842E-4693-89AC-5E4CB335B6EE}">
  <dimension ref="A1:E8"/>
  <sheetViews>
    <sheetView workbookViewId="0"/>
  </sheetViews>
  <sheetFormatPr defaultRowHeight="16.5"/>
  <cols>
    <col min="3" max="3" width="10.875" customWidth="1"/>
    <col min="5" max="5" width="88.25" customWidth="1"/>
  </cols>
  <sheetData>
    <row r="1" spans="1:5">
      <c r="A1" s="137" t="s">
        <v>382</v>
      </c>
      <c r="B1" s="137" t="s">
        <v>417</v>
      </c>
      <c r="C1" s="137" t="s">
        <v>729</v>
      </c>
      <c r="D1" s="137" t="s">
        <v>383</v>
      </c>
      <c r="E1" s="137" t="s">
        <v>384</v>
      </c>
    </row>
    <row r="2" spans="1:5">
      <c r="A2" s="138" t="s">
        <v>722</v>
      </c>
      <c r="B2" s="138">
        <v>0</v>
      </c>
      <c r="C2" s="143" t="s">
        <v>360</v>
      </c>
      <c r="D2" s="138">
        <v>4</v>
      </c>
      <c r="E2" s="138" t="s">
        <v>730</v>
      </c>
    </row>
    <row r="3" spans="1:5">
      <c r="A3" s="139" t="s">
        <v>723</v>
      </c>
      <c r="B3" s="139">
        <v>1</v>
      </c>
      <c r="C3" s="144" t="s">
        <v>360</v>
      </c>
      <c r="D3" s="139">
        <v>4</v>
      </c>
      <c r="E3" s="139" t="s">
        <v>731</v>
      </c>
    </row>
    <row r="4" spans="1:5">
      <c r="A4" s="138" t="s">
        <v>724</v>
      </c>
      <c r="B4" s="138">
        <v>2</v>
      </c>
      <c r="C4" s="143" t="s">
        <v>367</v>
      </c>
      <c r="D4" s="138">
        <v>4</v>
      </c>
      <c r="E4" s="138" t="s">
        <v>732</v>
      </c>
    </row>
    <row r="5" spans="1:5">
      <c r="A5" s="139" t="s">
        <v>725</v>
      </c>
      <c r="B5" s="139">
        <v>3</v>
      </c>
      <c r="C5" s="144" t="s">
        <v>726</v>
      </c>
      <c r="D5" s="139">
        <v>4</v>
      </c>
      <c r="E5" s="139" t="s">
        <v>733</v>
      </c>
    </row>
    <row r="6" spans="1:5">
      <c r="A6" s="138" t="s">
        <v>727</v>
      </c>
      <c r="B6" s="138">
        <v>4</v>
      </c>
      <c r="C6" s="143" t="s">
        <v>360</v>
      </c>
      <c r="D6" s="138">
        <v>4</v>
      </c>
      <c r="E6" s="138" t="s">
        <v>734</v>
      </c>
    </row>
    <row r="7" spans="1:5">
      <c r="A7" s="139" t="s">
        <v>728</v>
      </c>
      <c r="B7" s="139">
        <v>5</v>
      </c>
      <c r="C7" s="144" t="s">
        <v>370</v>
      </c>
      <c r="D7" s="139" t="s">
        <v>372</v>
      </c>
      <c r="E7" s="139" t="s">
        <v>370</v>
      </c>
    </row>
    <row r="8" spans="1:5">
      <c r="A8" s="138" t="s">
        <v>421</v>
      </c>
      <c r="B8" s="138">
        <v>6</v>
      </c>
      <c r="C8" s="143" t="s">
        <v>367</v>
      </c>
      <c r="D8" s="138">
        <v>4</v>
      </c>
      <c r="E8" s="138" t="s">
        <v>735</v>
      </c>
    </row>
  </sheetData>
  <phoneticPr fontId="17" type="noConversion"/>
  <conditionalFormatting sqref="A2:E8">
    <cfRule type="expression" priority="1">
      <formula>MOD(ROW(),2)=0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B2955-B691-42FD-ACB6-591ED17A976E}">
  <dimension ref="A1:B252"/>
  <sheetViews>
    <sheetView topLeftCell="A91" workbookViewId="0">
      <selection activeCell="B27" sqref="B27"/>
    </sheetView>
  </sheetViews>
  <sheetFormatPr defaultRowHeight="16.5"/>
  <cols>
    <col min="1" max="1" width="50" style="146" customWidth="1"/>
    <col min="2" max="2" width="122.375" style="146" customWidth="1"/>
    <col min="3" max="16384" width="9" style="146"/>
  </cols>
  <sheetData>
    <row r="1" spans="1:2">
      <c r="A1" s="145" t="s">
        <v>736</v>
      </c>
      <c r="B1" s="145" t="s">
        <v>2</v>
      </c>
    </row>
    <row r="2" spans="1:2">
      <c r="A2" s="147" t="s">
        <v>737</v>
      </c>
      <c r="B2" s="147" t="s">
        <v>738</v>
      </c>
    </row>
    <row r="3" spans="1:2">
      <c r="A3" s="147" t="s">
        <v>739</v>
      </c>
      <c r="B3" s="147" t="s">
        <v>740</v>
      </c>
    </row>
    <row r="4" spans="1:2">
      <c r="A4" s="147" t="s">
        <v>741</v>
      </c>
      <c r="B4" s="147" t="s">
        <v>742</v>
      </c>
    </row>
    <row r="5" spans="1:2">
      <c r="A5" s="147" t="s">
        <v>743</v>
      </c>
      <c r="B5" s="147" t="s">
        <v>744</v>
      </c>
    </row>
    <row r="6" spans="1:2">
      <c r="A6" s="147" t="s">
        <v>745</v>
      </c>
      <c r="B6" s="147" t="s">
        <v>746</v>
      </c>
    </row>
    <row r="7" spans="1:2">
      <c r="A7" s="147" t="s">
        <v>747</v>
      </c>
      <c r="B7" s="147" t="s">
        <v>748</v>
      </c>
    </row>
    <row r="8" spans="1:2">
      <c r="A8" s="147" t="s">
        <v>749</v>
      </c>
      <c r="B8" s="147" t="s">
        <v>750</v>
      </c>
    </row>
    <row r="9" spans="1:2">
      <c r="A9" s="147" t="s">
        <v>751</v>
      </c>
      <c r="B9" s="147" t="s">
        <v>752</v>
      </c>
    </row>
    <row r="10" spans="1:2">
      <c r="A10" s="147" t="s">
        <v>753</v>
      </c>
      <c r="B10" s="147" t="s">
        <v>754</v>
      </c>
    </row>
    <row r="11" spans="1:2">
      <c r="A11" s="147" t="s">
        <v>755</v>
      </c>
      <c r="B11" s="147" t="s">
        <v>756</v>
      </c>
    </row>
    <row r="12" spans="1:2">
      <c r="A12" s="147" t="s">
        <v>757</v>
      </c>
      <c r="B12" s="147" t="s">
        <v>758</v>
      </c>
    </row>
    <row r="13" spans="1:2">
      <c r="A13" s="147" t="s">
        <v>759</v>
      </c>
      <c r="B13" s="147" t="s">
        <v>760</v>
      </c>
    </row>
    <row r="14" spans="1:2">
      <c r="A14" s="147" t="s">
        <v>761</v>
      </c>
      <c r="B14" s="147" t="s">
        <v>762</v>
      </c>
    </row>
    <row r="15" spans="1:2">
      <c r="A15" s="147" t="s">
        <v>763</v>
      </c>
      <c r="B15" s="147" t="s">
        <v>764</v>
      </c>
    </row>
    <row r="16" spans="1:2">
      <c r="A16" s="147" t="s">
        <v>765</v>
      </c>
      <c r="B16" s="147" t="s">
        <v>766</v>
      </c>
    </row>
    <row r="17" spans="1:2">
      <c r="A17" s="147" t="s">
        <v>767</v>
      </c>
      <c r="B17" s="147" t="s">
        <v>768</v>
      </c>
    </row>
    <row r="18" spans="1:2">
      <c r="A18" s="147" t="s">
        <v>769</v>
      </c>
      <c r="B18" s="147" t="s">
        <v>770</v>
      </c>
    </row>
    <row r="19" spans="1:2">
      <c r="A19" s="147" t="s">
        <v>771</v>
      </c>
      <c r="B19" s="147" t="s">
        <v>772</v>
      </c>
    </row>
    <row r="20" spans="1:2">
      <c r="A20" s="147" t="s">
        <v>773</v>
      </c>
      <c r="B20" s="147" t="s">
        <v>774</v>
      </c>
    </row>
    <row r="21" spans="1:2">
      <c r="A21" s="147" t="s">
        <v>775</v>
      </c>
      <c r="B21" s="147" t="s">
        <v>776</v>
      </c>
    </row>
    <row r="22" spans="1:2">
      <c r="A22" s="147" t="s">
        <v>777</v>
      </c>
      <c r="B22" s="147" t="s">
        <v>778</v>
      </c>
    </row>
    <row r="23" spans="1:2">
      <c r="A23" s="147" t="s">
        <v>779</v>
      </c>
      <c r="B23" s="147" t="s">
        <v>780</v>
      </c>
    </row>
    <row r="24" spans="1:2">
      <c r="A24" s="147" t="s">
        <v>781</v>
      </c>
      <c r="B24" s="147" t="s">
        <v>782</v>
      </c>
    </row>
    <row r="25" spans="1:2">
      <c r="A25" s="147" t="s">
        <v>783</v>
      </c>
      <c r="B25" s="147" t="s">
        <v>784</v>
      </c>
    </row>
    <row r="26" spans="1:2">
      <c r="A26" s="147" t="s">
        <v>785</v>
      </c>
      <c r="B26" s="147" t="s">
        <v>786</v>
      </c>
    </row>
    <row r="27" spans="1:2">
      <c r="A27" s="147" t="s">
        <v>787</v>
      </c>
      <c r="B27" s="147" t="s">
        <v>788</v>
      </c>
    </row>
    <row r="28" spans="1:2">
      <c r="A28" s="147" t="s">
        <v>789</v>
      </c>
      <c r="B28" s="147" t="s">
        <v>790</v>
      </c>
    </row>
    <row r="29" spans="1:2">
      <c r="A29" s="147" t="s">
        <v>791</v>
      </c>
      <c r="B29" s="147" t="s">
        <v>792</v>
      </c>
    </row>
    <row r="30" spans="1:2">
      <c r="A30" s="147" t="s">
        <v>793</v>
      </c>
      <c r="B30" s="147" t="s">
        <v>794</v>
      </c>
    </row>
    <row r="31" spans="1:2">
      <c r="A31" s="147" t="s">
        <v>795</v>
      </c>
      <c r="B31" s="147" t="s">
        <v>796</v>
      </c>
    </row>
    <row r="32" spans="1:2">
      <c r="A32" s="147" t="s">
        <v>797</v>
      </c>
      <c r="B32" s="147" t="s">
        <v>798</v>
      </c>
    </row>
    <row r="33" spans="1:2">
      <c r="A33" s="147" t="s">
        <v>799</v>
      </c>
      <c r="B33" s="147" t="s">
        <v>800</v>
      </c>
    </row>
    <row r="34" spans="1:2">
      <c r="A34" s="147" t="s">
        <v>801</v>
      </c>
      <c r="B34" s="147" t="s">
        <v>802</v>
      </c>
    </row>
    <row r="35" spans="1:2">
      <c r="A35" s="147" t="s">
        <v>803</v>
      </c>
      <c r="B35" s="147" t="s">
        <v>804</v>
      </c>
    </row>
    <row r="36" spans="1:2">
      <c r="A36" s="147" t="s">
        <v>805</v>
      </c>
      <c r="B36" s="147" t="s">
        <v>806</v>
      </c>
    </row>
    <row r="37" spans="1:2">
      <c r="A37" s="147" t="s">
        <v>807</v>
      </c>
      <c r="B37" s="147" t="s">
        <v>808</v>
      </c>
    </row>
    <row r="38" spans="1:2">
      <c r="A38" s="147" t="s">
        <v>809</v>
      </c>
      <c r="B38" s="147" t="s">
        <v>810</v>
      </c>
    </row>
    <row r="39" spans="1:2">
      <c r="A39" s="147" t="s">
        <v>811</v>
      </c>
      <c r="B39" s="147" t="s">
        <v>812</v>
      </c>
    </row>
    <row r="40" spans="1:2">
      <c r="A40" s="147" t="s">
        <v>813</v>
      </c>
      <c r="B40" s="147" t="s">
        <v>814</v>
      </c>
    </row>
    <row r="41" spans="1:2">
      <c r="A41" s="147" t="s">
        <v>815</v>
      </c>
      <c r="B41" s="147" t="s">
        <v>816</v>
      </c>
    </row>
    <row r="42" spans="1:2">
      <c r="A42" s="147" t="s">
        <v>817</v>
      </c>
      <c r="B42" s="147" t="s">
        <v>818</v>
      </c>
    </row>
    <row r="43" spans="1:2">
      <c r="A43" s="147" t="s">
        <v>819</v>
      </c>
      <c r="B43" s="147" t="s">
        <v>820</v>
      </c>
    </row>
    <row r="44" spans="1:2">
      <c r="A44" s="147" t="s">
        <v>821</v>
      </c>
      <c r="B44" s="147" t="s">
        <v>822</v>
      </c>
    </row>
    <row r="45" spans="1:2">
      <c r="A45" s="147" t="s">
        <v>823</v>
      </c>
      <c r="B45" s="147" t="s">
        <v>824</v>
      </c>
    </row>
    <row r="46" spans="1:2">
      <c r="A46" s="147" t="s">
        <v>825</v>
      </c>
      <c r="B46" s="147" t="s">
        <v>826</v>
      </c>
    </row>
    <row r="47" spans="1:2">
      <c r="A47" s="147" t="s">
        <v>827</v>
      </c>
      <c r="B47" s="147" t="s">
        <v>828</v>
      </c>
    </row>
    <row r="48" spans="1:2">
      <c r="A48" s="147" t="s">
        <v>829</v>
      </c>
      <c r="B48" s="147" t="s">
        <v>830</v>
      </c>
    </row>
    <row r="49" spans="1:2">
      <c r="A49" s="147" t="s">
        <v>831</v>
      </c>
      <c r="B49" s="147" t="s">
        <v>832</v>
      </c>
    </row>
    <row r="50" spans="1:2">
      <c r="A50" s="147" t="s">
        <v>833</v>
      </c>
      <c r="B50" s="147" t="s">
        <v>834</v>
      </c>
    </row>
    <row r="51" spans="1:2">
      <c r="A51" s="147" t="s">
        <v>835</v>
      </c>
      <c r="B51" s="147" t="s">
        <v>836</v>
      </c>
    </row>
    <row r="52" spans="1:2">
      <c r="A52" s="147" t="s">
        <v>837</v>
      </c>
      <c r="B52" s="147" t="s">
        <v>838</v>
      </c>
    </row>
    <row r="53" spans="1:2">
      <c r="A53" s="147" t="s">
        <v>839</v>
      </c>
      <c r="B53" s="147" t="s">
        <v>840</v>
      </c>
    </row>
    <row r="54" spans="1:2">
      <c r="A54" s="147" t="s">
        <v>841</v>
      </c>
      <c r="B54" s="147" t="s">
        <v>842</v>
      </c>
    </row>
    <row r="55" spans="1:2">
      <c r="A55" s="147" t="s">
        <v>843</v>
      </c>
      <c r="B55" s="147" t="s">
        <v>844</v>
      </c>
    </row>
    <row r="56" spans="1:2">
      <c r="A56" s="147" t="s">
        <v>845</v>
      </c>
      <c r="B56" s="147" t="s">
        <v>846</v>
      </c>
    </row>
    <row r="57" spans="1:2">
      <c r="A57" s="147" t="s">
        <v>847</v>
      </c>
      <c r="B57" s="147" t="s">
        <v>848</v>
      </c>
    </row>
    <row r="58" spans="1:2">
      <c r="A58" s="147" t="s">
        <v>849</v>
      </c>
      <c r="B58" s="147" t="s">
        <v>850</v>
      </c>
    </row>
    <row r="59" spans="1:2">
      <c r="A59" s="147" t="s">
        <v>851</v>
      </c>
      <c r="B59" s="147" t="s">
        <v>852</v>
      </c>
    </row>
    <row r="60" spans="1:2">
      <c r="A60" s="147" t="s">
        <v>853</v>
      </c>
      <c r="B60" s="147" t="s">
        <v>854</v>
      </c>
    </row>
    <row r="61" spans="1:2">
      <c r="A61" s="147" t="s">
        <v>855</v>
      </c>
      <c r="B61" s="147" t="s">
        <v>856</v>
      </c>
    </row>
    <row r="62" spans="1:2">
      <c r="A62" s="147" t="s">
        <v>857</v>
      </c>
      <c r="B62" s="147" t="s">
        <v>858</v>
      </c>
    </row>
    <row r="63" spans="1:2">
      <c r="A63" s="147" t="s">
        <v>859</v>
      </c>
      <c r="B63" s="147" t="s">
        <v>860</v>
      </c>
    </row>
    <row r="64" spans="1:2">
      <c r="A64" s="147" t="s">
        <v>861</v>
      </c>
      <c r="B64" s="147" t="s">
        <v>862</v>
      </c>
    </row>
    <row r="65" spans="1:2">
      <c r="A65" s="147" t="s">
        <v>863</v>
      </c>
      <c r="B65" s="147" t="s">
        <v>864</v>
      </c>
    </row>
    <row r="66" spans="1:2">
      <c r="A66" s="147" t="s">
        <v>865</v>
      </c>
      <c r="B66" s="147" t="s">
        <v>866</v>
      </c>
    </row>
    <row r="67" spans="1:2">
      <c r="A67" s="147" t="s">
        <v>867</v>
      </c>
      <c r="B67" s="147" t="s">
        <v>868</v>
      </c>
    </row>
    <row r="68" spans="1:2">
      <c r="A68" s="147" t="s">
        <v>869</v>
      </c>
      <c r="B68" s="147" t="s">
        <v>870</v>
      </c>
    </row>
    <row r="69" spans="1:2">
      <c r="A69" s="147" t="s">
        <v>871</v>
      </c>
      <c r="B69" s="147" t="s">
        <v>872</v>
      </c>
    </row>
    <row r="70" spans="1:2">
      <c r="A70" s="147" t="s">
        <v>873</v>
      </c>
      <c r="B70" s="147" t="s">
        <v>874</v>
      </c>
    </row>
    <row r="71" spans="1:2">
      <c r="A71" s="147" t="s">
        <v>875</v>
      </c>
      <c r="B71" s="147" t="s">
        <v>876</v>
      </c>
    </row>
    <row r="72" spans="1:2">
      <c r="A72" s="147" t="s">
        <v>877</v>
      </c>
      <c r="B72" s="147" t="s">
        <v>878</v>
      </c>
    </row>
    <row r="73" spans="1:2">
      <c r="A73" s="147" t="s">
        <v>879</v>
      </c>
      <c r="B73" s="147" t="s">
        <v>880</v>
      </c>
    </row>
    <row r="74" spans="1:2">
      <c r="A74" s="147" t="s">
        <v>881</v>
      </c>
      <c r="B74" s="147" t="s">
        <v>882</v>
      </c>
    </row>
    <row r="75" spans="1:2">
      <c r="A75" s="147" t="s">
        <v>883</v>
      </c>
      <c r="B75" s="147" t="s">
        <v>884</v>
      </c>
    </row>
    <row r="76" spans="1:2">
      <c r="A76" s="147" t="s">
        <v>885</v>
      </c>
      <c r="B76" s="147" t="s">
        <v>886</v>
      </c>
    </row>
    <row r="77" spans="1:2">
      <c r="A77" s="147" t="s">
        <v>887</v>
      </c>
      <c r="B77" s="147" t="s">
        <v>888</v>
      </c>
    </row>
    <row r="78" spans="1:2">
      <c r="A78" s="147" t="s">
        <v>889</v>
      </c>
      <c r="B78" s="147" t="s">
        <v>890</v>
      </c>
    </row>
    <row r="79" spans="1:2">
      <c r="A79" s="147" t="s">
        <v>891</v>
      </c>
      <c r="B79" s="147" t="s">
        <v>892</v>
      </c>
    </row>
    <row r="80" spans="1:2">
      <c r="A80" s="147" t="s">
        <v>893</v>
      </c>
      <c r="B80" s="147" t="s">
        <v>894</v>
      </c>
    </row>
    <row r="81" spans="1:2">
      <c r="A81" s="147" t="s">
        <v>895</v>
      </c>
      <c r="B81" s="147" t="s">
        <v>896</v>
      </c>
    </row>
    <row r="82" spans="1:2">
      <c r="A82" s="147" t="s">
        <v>897</v>
      </c>
      <c r="B82" s="147" t="s">
        <v>898</v>
      </c>
    </row>
    <row r="83" spans="1:2">
      <c r="A83" s="147" t="s">
        <v>899</v>
      </c>
      <c r="B83" s="147" t="s">
        <v>900</v>
      </c>
    </row>
    <row r="84" spans="1:2">
      <c r="A84" s="147" t="s">
        <v>901</v>
      </c>
      <c r="B84" s="147" t="s">
        <v>902</v>
      </c>
    </row>
    <row r="85" spans="1:2">
      <c r="A85" s="147" t="s">
        <v>903</v>
      </c>
      <c r="B85" s="147" t="s">
        <v>904</v>
      </c>
    </row>
    <row r="86" spans="1:2">
      <c r="A86" s="147" t="s">
        <v>905</v>
      </c>
      <c r="B86" s="147" t="s">
        <v>906</v>
      </c>
    </row>
    <row r="87" spans="1:2">
      <c r="A87" s="147" t="s">
        <v>907</v>
      </c>
      <c r="B87" s="147" t="s">
        <v>908</v>
      </c>
    </row>
    <row r="88" spans="1:2">
      <c r="A88" s="147" t="s">
        <v>909</v>
      </c>
      <c r="B88" s="147" t="s">
        <v>910</v>
      </c>
    </row>
    <row r="89" spans="1:2">
      <c r="A89" s="147" t="s">
        <v>911</v>
      </c>
      <c r="B89" s="147" t="s">
        <v>912</v>
      </c>
    </row>
    <row r="90" spans="1:2">
      <c r="A90" s="147" t="s">
        <v>913</v>
      </c>
      <c r="B90" s="147" t="s">
        <v>914</v>
      </c>
    </row>
    <row r="91" spans="1:2">
      <c r="A91" s="147" t="s">
        <v>915</v>
      </c>
      <c r="B91" s="147" t="s">
        <v>916</v>
      </c>
    </row>
    <row r="92" spans="1:2">
      <c r="A92" s="147" t="s">
        <v>917</v>
      </c>
      <c r="B92" s="147" t="s">
        <v>918</v>
      </c>
    </row>
    <row r="93" spans="1:2">
      <c r="A93" s="147" t="s">
        <v>919</v>
      </c>
      <c r="B93" s="147" t="s">
        <v>920</v>
      </c>
    </row>
    <row r="94" spans="1:2">
      <c r="A94" s="147" t="s">
        <v>921</v>
      </c>
      <c r="B94" s="147" t="s">
        <v>922</v>
      </c>
    </row>
    <row r="95" spans="1:2">
      <c r="A95" s="147" t="s">
        <v>923</v>
      </c>
      <c r="B95" s="147" t="s">
        <v>924</v>
      </c>
    </row>
    <row r="96" spans="1:2">
      <c r="A96" s="147" t="s">
        <v>925</v>
      </c>
      <c r="B96" s="147" t="s">
        <v>926</v>
      </c>
    </row>
    <row r="97" spans="1:2">
      <c r="A97" s="147" t="s">
        <v>927</v>
      </c>
      <c r="B97" s="147" t="s">
        <v>928</v>
      </c>
    </row>
    <row r="98" spans="1:2">
      <c r="A98" s="147" t="s">
        <v>929</v>
      </c>
      <c r="B98" s="147" t="s">
        <v>930</v>
      </c>
    </row>
    <row r="99" spans="1:2">
      <c r="A99" s="147" t="s">
        <v>931</v>
      </c>
      <c r="B99" s="147" t="s">
        <v>932</v>
      </c>
    </row>
    <row r="100" spans="1:2">
      <c r="A100" s="147" t="s">
        <v>933</v>
      </c>
      <c r="B100" s="147" t="s">
        <v>858</v>
      </c>
    </row>
    <row r="101" spans="1:2">
      <c r="A101" s="147" t="s">
        <v>934</v>
      </c>
      <c r="B101" s="147" t="s">
        <v>935</v>
      </c>
    </row>
    <row r="102" spans="1:2">
      <c r="A102" s="147" t="s">
        <v>936</v>
      </c>
      <c r="B102" s="147" t="s">
        <v>937</v>
      </c>
    </row>
    <row r="103" spans="1:2">
      <c r="A103" s="147" t="s">
        <v>938</v>
      </c>
      <c r="B103" s="147" t="s">
        <v>939</v>
      </c>
    </row>
    <row r="104" spans="1:2">
      <c r="A104" s="147" t="s">
        <v>940</v>
      </c>
      <c r="B104" s="147" t="s">
        <v>941</v>
      </c>
    </row>
    <row r="105" spans="1:2">
      <c r="A105" s="147" t="s">
        <v>942</v>
      </c>
      <c r="B105" s="147" t="s">
        <v>943</v>
      </c>
    </row>
    <row r="106" spans="1:2">
      <c r="A106" s="147" t="s">
        <v>944</v>
      </c>
      <c r="B106" s="147" t="s">
        <v>945</v>
      </c>
    </row>
    <row r="107" spans="1:2">
      <c r="A107" s="147" t="s">
        <v>946</v>
      </c>
      <c r="B107" s="147" t="s">
        <v>947</v>
      </c>
    </row>
    <row r="108" spans="1:2">
      <c r="A108" s="147" t="s">
        <v>948</v>
      </c>
      <c r="B108" s="147" t="s">
        <v>949</v>
      </c>
    </row>
    <row r="109" spans="1:2">
      <c r="A109" s="147" t="s">
        <v>950</v>
      </c>
      <c r="B109" s="147" t="s">
        <v>951</v>
      </c>
    </row>
    <row r="110" spans="1:2">
      <c r="A110" s="147" t="s">
        <v>952</v>
      </c>
      <c r="B110" s="147" t="s">
        <v>953</v>
      </c>
    </row>
    <row r="111" spans="1:2">
      <c r="A111" s="147" t="s">
        <v>954</v>
      </c>
      <c r="B111" s="147" t="s">
        <v>955</v>
      </c>
    </row>
    <row r="112" spans="1:2">
      <c r="A112" s="147" t="s">
        <v>956</v>
      </c>
      <c r="B112" s="147" t="s">
        <v>957</v>
      </c>
    </row>
    <row r="113" spans="1:2">
      <c r="A113" s="147" t="s">
        <v>958</v>
      </c>
      <c r="B113" s="147" t="s">
        <v>959</v>
      </c>
    </row>
    <row r="114" spans="1:2">
      <c r="A114" s="147" t="s">
        <v>960</v>
      </c>
      <c r="B114" s="147" t="s">
        <v>961</v>
      </c>
    </row>
    <row r="115" spans="1:2">
      <c r="A115" s="147" t="s">
        <v>962</v>
      </c>
      <c r="B115" s="147" t="s">
        <v>963</v>
      </c>
    </row>
    <row r="116" spans="1:2">
      <c r="A116" s="147" t="s">
        <v>964</v>
      </c>
      <c r="B116" s="147" t="s">
        <v>965</v>
      </c>
    </row>
    <row r="117" spans="1:2">
      <c r="A117" s="147" t="s">
        <v>966</v>
      </c>
      <c r="B117" s="147" t="s">
        <v>967</v>
      </c>
    </row>
    <row r="118" spans="1:2">
      <c r="A118" s="147" t="s">
        <v>968</v>
      </c>
      <c r="B118" s="147" t="s">
        <v>969</v>
      </c>
    </row>
    <row r="119" spans="1:2">
      <c r="A119" s="147" t="s">
        <v>970</v>
      </c>
      <c r="B119" s="147" t="s">
        <v>971</v>
      </c>
    </row>
    <row r="120" spans="1:2">
      <c r="A120" s="147" t="s">
        <v>972</v>
      </c>
      <c r="B120" s="147" t="s">
        <v>973</v>
      </c>
    </row>
    <row r="121" spans="1:2">
      <c r="A121" s="147" t="s">
        <v>974</v>
      </c>
      <c r="B121" s="147" t="s">
        <v>975</v>
      </c>
    </row>
    <row r="122" spans="1:2">
      <c r="A122" s="147" t="s">
        <v>976</v>
      </c>
      <c r="B122" s="147" t="s">
        <v>977</v>
      </c>
    </row>
    <row r="123" spans="1:2">
      <c r="A123" s="147" t="s">
        <v>978</v>
      </c>
      <c r="B123" s="147" t="s">
        <v>979</v>
      </c>
    </row>
    <row r="124" spans="1:2">
      <c r="A124" s="147" t="s">
        <v>980</v>
      </c>
      <c r="B124" s="147" t="s">
        <v>981</v>
      </c>
    </row>
    <row r="125" spans="1:2">
      <c r="A125" s="147" t="s">
        <v>982</v>
      </c>
      <c r="B125" s="147" t="s">
        <v>983</v>
      </c>
    </row>
    <row r="126" spans="1:2">
      <c r="A126" s="147" t="s">
        <v>984</v>
      </c>
      <c r="B126" s="147" t="s">
        <v>985</v>
      </c>
    </row>
    <row r="127" spans="1:2">
      <c r="A127" s="147" t="s">
        <v>986</v>
      </c>
      <c r="B127" s="147" t="s">
        <v>987</v>
      </c>
    </row>
    <row r="128" spans="1:2">
      <c r="A128" s="147" t="s">
        <v>988</v>
      </c>
      <c r="B128" s="147" t="s">
        <v>989</v>
      </c>
    </row>
    <row r="129" spans="1:2">
      <c r="A129" s="147" t="s">
        <v>990</v>
      </c>
      <c r="B129" s="147" t="s">
        <v>991</v>
      </c>
    </row>
    <row r="130" spans="1:2">
      <c r="A130" s="147" t="s">
        <v>992</v>
      </c>
      <c r="B130" s="147" t="s">
        <v>993</v>
      </c>
    </row>
    <row r="131" spans="1:2">
      <c r="A131" s="147" t="s">
        <v>994</v>
      </c>
      <c r="B131" s="147" t="s">
        <v>995</v>
      </c>
    </row>
    <row r="132" spans="1:2">
      <c r="A132" s="147" t="s">
        <v>996</v>
      </c>
      <c r="B132" s="147" t="s">
        <v>997</v>
      </c>
    </row>
    <row r="133" spans="1:2">
      <c r="A133" s="147" t="s">
        <v>998</v>
      </c>
      <c r="B133" s="147" t="s">
        <v>999</v>
      </c>
    </row>
    <row r="134" spans="1:2">
      <c r="A134" s="147" t="s">
        <v>1000</v>
      </c>
      <c r="B134" s="147" t="s">
        <v>1001</v>
      </c>
    </row>
    <row r="135" spans="1:2">
      <c r="A135" s="147" t="s">
        <v>1002</v>
      </c>
      <c r="B135" s="147" t="s">
        <v>1003</v>
      </c>
    </row>
    <row r="136" spans="1:2">
      <c r="A136" s="147" t="s">
        <v>1004</v>
      </c>
      <c r="B136" s="147" t="s">
        <v>1005</v>
      </c>
    </row>
    <row r="137" spans="1:2">
      <c r="A137" s="147" t="s">
        <v>1006</v>
      </c>
      <c r="B137" s="147" t="s">
        <v>1007</v>
      </c>
    </row>
    <row r="138" spans="1:2">
      <c r="A138" s="147" t="s">
        <v>1008</v>
      </c>
      <c r="B138" s="147" t="s">
        <v>1009</v>
      </c>
    </row>
    <row r="139" spans="1:2">
      <c r="A139" s="147" t="s">
        <v>1010</v>
      </c>
      <c r="B139" s="147" t="s">
        <v>1011</v>
      </c>
    </row>
    <row r="140" spans="1:2">
      <c r="A140" s="147" t="s">
        <v>1012</v>
      </c>
      <c r="B140" s="147" t="s">
        <v>1013</v>
      </c>
    </row>
    <row r="141" spans="1:2">
      <c r="A141" s="147" t="s">
        <v>1014</v>
      </c>
      <c r="B141" s="147" t="s">
        <v>1015</v>
      </c>
    </row>
    <row r="142" spans="1:2">
      <c r="A142" s="147" t="s">
        <v>1016</v>
      </c>
      <c r="B142" s="147" t="s">
        <v>1017</v>
      </c>
    </row>
    <row r="143" spans="1:2">
      <c r="A143" s="147" t="s">
        <v>1018</v>
      </c>
      <c r="B143" s="147" t="s">
        <v>1019</v>
      </c>
    </row>
    <row r="144" spans="1:2">
      <c r="A144" s="147" t="s">
        <v>1020</v>
      </c>
      <c r="B144" s="147" t="s">
        <v>1021</v>
      </c>
    </row>
    <row r="145" spans="1:2">
      <c r="A145" s="147" t="s">
        <v>1022</v>
      </c>
      <c r="B145" s="147" t="s">
        <v>1023</v>
      </c>
    </row>
    <row r="146" spans="1:2">
      <c r="A146" s="147" t="s">
        <v>1024</v>
      </c>
      <c r="B146" s="147" t="s">
        <v>1025</v>
      </c>
    </row>
    <row r="147" spans="1:2">
      <c r="A147" s="147" t="s">
        <v>1026</v>
      </c>
      <c r="B147" s="147" t="s">
        <v>1027</v>
      </c>
    </row>
    <row r="148" spans="1:2">
      <c r="A148" s="147" t="s">
        <v>1028</v>
      </c>
      <c r="B148" s="147" t="s">
        <v>1029</v>
      </c>
    </row>
    <row r="149" spans="1:2">
      <c r="A149" s="147" t="s">
        <v>1030</v>
      </c>
      <c r="B149" s="147" t="s">
        <v>1031</v>
      </c>
    </row>
    <row r="150" spans="1:2">
      <c r="A150" s="147" t="s">
        <v>1032</v>
      </c>
      <c r="B150" s="147" t="s">
        <v>1033</v>
      </c>
    </row>
    <row r="151" spans="1:2">
      <c r="A151" s="147" t="s">
        <v>1034</v>
      </c>
      <c r="B151" s="147" t="s">
        <v>1035</v>
      </c>
    </row>
    <row r="152" spans="1:2">
      <c r="A152" s="147" t="s">
        <v>1036</v>
      </c>
      <c r="B152" s="147" t="s">
        <v>1037</v>
      </c>
    </row>
    <row r="153" spans="1:2">
      <c r="A153" s="147" t="s">
        <v>1038</v>
      </c>
      <c r="B153" s="147" t="s">
        <v>1039</v>
      </c>
    </row>
    <row r="154" spans="1:2">
      <c r="A154" s="147" t="s">
        <v>1040</v>
      </c>
      <c r="B154" s="147" t="s">
        <v>1041</v>
      </c>
    </row>
    <row r="155" spans="1:2">
      <c r="A155" s="147" t="s">
        <v>1042</v>
      </c>
      <c r="B155" s="147" t="s">
        <v>1043</v>
      </c>
    </row>
    <row r="156" spans="1:2">
      <c r="A156" s="147" t="s">
        <v>1044</v>
      </c>
      <c r="B156" s="147" t="s">
        <v>1045</v>
      </c>
    </row>
    <row r="157" spans="1:2">
      <c r="A157" s="147" t="s">
        <v>1046</v>
      </c>
      <c r="B157" s="147" t="s">
        <v>1047</v>
      </c>
    </row>
    <row r="158" spans="1:2">
      <c r="A158" s="147" t="s">
        <v>1048</v>
      </c>
      <c r="B158" s="147" t="s">
        <v>1049</v>
      </c>
    </row>
    <row r="159" spans="1:2">
      <c r="A159" s="147" t="s">
        <v>1050</v>
      </c>
      <c r="B159" s="147" t="s">
        <v>1051</v>
      </c>
    </row>
    <row r="160" spans="1:2">
      <c r="A160" s="147" t="s">
        <v>1052</v>
      </c>
      <c r="B160" s="147" t="s">
        <v>1053</v>
      </c>
    </row>
    <row r="161" spans="1:2">
      <c r="A161" s="147" t="s">
        <v>1054</v>
      </c>
      <c r="B161" s="147" t="s">
        <v>1055</v>
      </c>
    </row>
    <row r="162" spans="1:2">
      <c r="A162" s="147" t="s">
        <v>1056</v>
      </c>
      <c r="B162" s="147" t="s">
        <v>1057</v>
      </c>
    </row>
    <row r="163" spans="1:2">
      <c r="A163" s="147" t="s">
        <v>1058</v>
      </c>
      <c r="B163" s="147" t="s">
        <v>1059</v>
      </c>
    </row>
    <row r="164" spans="1:2">
      <c r="A164" s="147" t="s">
        <v>1060</v>
      </c>
      <c r="B164" s="147" t="s">
        <v>1061</v>
      </c>
    </row>
    <row r="165" spans="1:2">
      <c r="A165" s="147" t="s">
        <v>1062</v>
      </c>
      <c r="B165" s="147" t="s">
        <v>1063</v>
      </c>
    </row>
    <row r="166" spans="1:2">
      <c r="A166" s="147" t="s">
        <v>1064</v>
      </c>
      <c r="B166" s="147" t="s">
        <v>1065</v>
      </c>
    </row>
    <row r="167" spans="1:2">
      <c r="A167" s="147" t="s">
        <v>1066</v>
      </c>
      <c r="B167" s="147" t="s">
        <v>1067</v>
      </c>
    </row>
    <row r="168" spans="1:2">
      <c r="A168" s="147" t="s">
        <v>1068</v>
      </c>
      <c r="B168" s="147" t="s">
        <v>1069</v>
      </c>
    </row>
    <row r="169" spans="1:2">
      <c r="A169" s="147" t="s">
        <v>1070</v>
      </c>
      <c r="B169" s="147" t="s">
        <v>1071</v>
      </c>
    </row>
    <row r="170" spans="1:2">
      <c r="A170" s="147" t="s">
        <v>1072</v>
      </c>
      <c r="B170" s="147" t="s">
        <v>1073</v>
      </c>
    </row>
    <row r="171" spans="1:2">
      <c r="A171" s="147" t="s">
        <v>1074</v>
      </c>
      <c r="B171" s="147" t="s">
        <v>1075</v>
      </c>
    </row>
    <row r="172" spans="1:2">
      <c r="A172" s="147" t="s">
        <v>1076</v>
      </c>
      <c r="B172" s="147" t="s">
        <v>1077</v>
      </c>
    </row>
    <row r="173" spans="1:2">
      <c r="A173" s="147" t="s">
        <v>1078</v>
      </c>
      <c r="B173" s="147" t="s">
        <v>1079</v>
      </c>
    </row>
    <row r="174" spans="1:2">
      <c r="A174" s="147" t="s">
        <v>1080</v>
      </c>
      <c r="B174" s="147" t="s">
        <v>1081</v>
      </c>
    </row>
    <row r="175" spans="1:2">
      <c r="A175" s="147" t="s">
        <v>1082</v>
      </c>
      <c r="B175" s="147" t="s">
        <v>1083</v>
      </c>
    </row>
    <row r="176" spans="1:2">
      <c r="A176" s="147" t="s">
        <v>1084</v>
      </c>
      <c r="B176" s="147" t="s">
        <v>1085</v>
      </c>
    </row>
    <row r="177" spans="1:2">
      <c r="A177" s="147" t="s">
        <v>1086</v>
      </c>
      <c r="B177" s="147" t="s">
        <v>1087</v>
      </c>
    </row>
    <row r="178" spans="1:2">
      <c r="A178" s="147" t="s">
        <v>1088</v>
      </c>
      <c r="B178" s="147" t="s">
        <v>1089</v>
      </c>
    </row>
    <row r="179" spans="1:2">
      <c r="A179" s="147" t="s">
        <v>1090</v>
      </c>
      <c r="B179" s="147" t="s">
        <v>1091</v>
      </c>
    </row>
    <row r="180" spans="1:2">
      <c r="A180" s="147" t="s">
        <v>1092</v>
      </c>
      <c r="B180" s="147" t="s">
        <v>1093</v>
      </c>
    </row>
    <row r="181" spans="1:2">
      <c r="A181" s="147" t="s">
        <v>1094</v>
      </c>
      <c r="B181" s="147" t="s">
        <v>1095</v>
      </c>
    </row>
    <row r="182" spans="1:2">
      <c r="A182" s="147" t="s">
        <v>1096</v>
      </c>
      <c r="B182" s="147" t="s">
        <v>1097</v>
      </c>
    </row>
    <row r="183" spans="1:2">
      <c r="A183" s="147" t="s">
        <v>1098</v>
      </c>
      <c r="B183" s="147" t="s">
        <v>1099</v>
      </c>
    </row>
    <row r="184" spans="1:2">
      <c r="A184" s="147" t="s">
        <v>1100</v>
      </c>
      <c r="B184" s="147" t="s">
        <v>1101</v>
      </c>
    </row>
    <row r="185" spans="1:2">
      <c r="A185" s="147" t="s">
        <v>1102</v>
      </c>
      <c r="B185" s="147" t="s">
        <v>1103</v>
      </c>
    </row>
    <row r="186" spans="1:2">
      <c r="A186" s="147" t="s">
        <v>1104</v>
      </c>
      <c r="B186" s="147" t="s">
        <v>1105</v>
      </c>
    </row>
    <row r="187" spans="1:2">
      <c r="A187" s="147" t="s">
        <v>1106</v>
      </c>
      <c r="B187" s="147" t="s">
        <v>1107</v>
      </c>
    </row>
    <row r="188" spans="1:2">
      <c r="A188" s="147" t="s">
        <v>1108</v>
      </c>
      <c r="B188" s="147" t="s">
        <v>1109</v>
      </c>
    </row>
    <row r="189" spans="1:2">
      <c r="A189" s="147" t="s">
        <v>1110</v>
      </c>
      <c r="B189" s="147" t="s">
        <v>1111</v>
      </c>
    </row>
    <row r="190" spans="1:2">
      <c r="A190" s="147" t="s">
        <v>1112</v>
      </c>
      <c r="B190" s="147" t="s">
        <v>1113</v>
      </c>
    </row>
    <row r="191" spans="1:2">
      <c r="A191" s="147" t="s">
        <v>1114</v>
      </c>
      <c r="B191" s="147" t="s">
        <v>1115</v>
      </c>
    </row>
    <row r="192" spans="1:2">
      <c r="A192" s="147" t="s">
        <v>1116</v>
      </c>
      <c r="B192" s="147" t="s">
        <v>1117</v>
      </c>
    </row>
    <row r="193" spans="1:2">
      <c r="A193" s="147" t="s">
        <v>1118</v>
      </c>
      <c r="B193" s="147" t="s">
        <v>1119</v>
      </c>
    </row>
    <row r="194" spans="1:2">
      <c r="A194" s="147" t="s">
        <v>1120</v>
      </c>
      <c r="B194" s="147" t="s">
        <v>1121</v>
      </c>
    </row>
    <row r="195" spans="1:2">
      <c r="A195" s="147" t="s">
        <v>1122</v>
      </c>
      <c r="B195" s="147" t="s">
        <v>1123</v>
      </c>
    </row>
    <row r="196" spans="1:2">
      <c r="A196" s="147" t="s">
        <v>1124</v>
      </c>
      <c r="B196" s="147" t="s">
        <v>1125</v>
      </c>
    </row>
    <row r="197" spans="1:2">
      <c r="A197" s="147" t="s">
        <v>1126</v>
      </c>
      <c r="B197" s="147" t="s">
        <v>1127</v>
      </c>
    </row>
    <row r="198" spans="1:2">
      <c r="A198" s="147" t="s">
        <v>1128</v>
      </c>
      <c r="B198" s="147" t="s">
        <v>1129</v>
      </c>
    </row>
    <row r="199" spans="1:2">
      <c r="A199" s="147" t="s">
        <v>1130</v>
      </c>
      <c r="B199" s="147" t="s">
        <v>1131</v>
      </c>
    </row>
    <row r="200" spans="1:2">
      <c r="A200" s="147" t="s">
        <v>1132</v>
      </c>
      <c r="B200" s="147" t="s">
        <v>1133</v>
      </c>
    </row>
    <row r="201" spans="1:2">
      <c r="A201" s="147" t="s">
        <v>1134</v>
      </c>
      <c r="B201" s="147" t="s">
        <v>1135</v>
      </c>
    </row>
    <row r="202" spans="1:2">
      <c r="A202" s="147" t="s">
        <v>1136</v>
      </c>
      <c r="B202" s="147" t="s">
        <v>1137</v>
      </c>
    </row>
    <row r="203" spans="1:2">
      <c r="A203" s="147" t="s">
        <v>1138</v>
      </c>
      <c r="B203" s="147" t="s">
        <v>1139</v>
      </c>
    </row>
    <row r="204" spans="1:2">
      <c r="A204" s="147" t="s">
        <v>1140</v>
      </c>
      <c r="B204" s="147" t="s">
        <v>1141</v>
      </c>
    </row>
    <row r="205" spans="1:2">
      <c r="A205" s="147" t="s">
        <v>1142</v>
      </c>
      <c r="B205" s="147" t="s">
        <v>1143</v>
      </c>
    </row>
    <row r="206" spans="1:2">
      <c r="A206" s="147" t="s">
        <v>1144</v>
      </c>
      <c r="B206" s="147" t="s">
        <v>1145</v>
      </c>
    </row>
    <row r="207" spans="1:2">
      <c r="A207" s="147" t="s">
        <v>1146</v>
      </c>
      <c r="B207" s="147" t="s">
        <v>1147</v>
      </c>
    </row>
    <row r="208" spans="1:2">
      <c r="A208" s="147" t="s">
        <v>1148</v>
      </c>
      <c r="B208" s="147" t="s">
        <v>1149</v>
      </c>
    </row>
    <row r="209" spans="1:2">
      <c r="A209" s="147" t="s">
        <v>1150</v>
      </c>
      <c r="B209" s="147" t="s">
        <v>1151</v>
      </c>
    </row>
    <row r="210" spans="1:2">
      <c r="A210" s="147" t="s">
        <v>1152</v>
      </c>
      <c r="B210" s="147" t="s">
        <v>1153</v>
      </c>
    </row>
    <row r="211" spans="1:2">
      <c r="A211" s="147" t="s">
        <v>1154</v>
      </c>
      <c r="B211" s="147" t="s">
        <v>1155</v>
      </c>
    </row>
    <row r="212" spans="1:2">
      <c r="A212" s="147" t="s">
        <v>1156</v>
      </c>
      <c r="B212" s="147" t="s">
        <v>1157</v>
      </c>
    </row>
    <row r="213" spans="1:2">
      <c r="A213" s="147" t="s">
        <v>1158</v>
      </c>
      <c r="B213" s="147" t="s">
        <v>1159</v>
      </c>
    </row>
    <row r="214" spans="1:2">
      <c r="A214" s="147" t="s">
        <v>1160</v>
      </c>
      <c r="B214" s="147" t="s">
        <v>1161</v>
      </c>
    </row>
    <row r="215" spans="1:2">
      <c r="A215" s="147" t="s">
        <v>1162</v>
      </c>
      <c r="B215" s="147" t="s">
        <v>1163</v>
      </c>
    </row>
    <row r="216" spans="1:2">
      <c r="A216" s="147" t="s">
        <v>1164</v>
      </c>
      <c r="B216" s="147" t="s">
        <v>1165</v>
      </c>
    </row>
    <row r="217" spans="1:2">
      <c r="A217" s="147" t="s">
        <v>1166</v>
      </c>
      <c r="B217" s="147" t="s">
        <v>1167</v>
      </c>
    </row>
    <row r="218" spans="1:2">
      <c r="A218" s="147" t="s">
        <v>1168</v>
      </c>
      <c r="B218" s="147" t="s">
        <v>1169</v>
      </c>
    </row>
    <row r="219" spans="1:2">
      <c r="A219" s="147" t="s">
        <v>1170</v>
      </c>
      <c r="B219" s="147" t="s">
        <v>1171</v>
      </c>
    </row>
    <row r="220" spans="1:2">
      <c r="A220" s="147" t="s">
        <v>1172</v>
      </c>
      <c r="B220" s="147" t="s">
        <v>1173</v>
      </c>
    </row>
    <row r="221" spans="1:2">
      <c r="A221" s="147" t="s">
        <v>1174</v>
      </c>
      <c r="B221" s="147" t="s">
        <v>1175</v>
      </c>
    </row>
    <row r="222" spans="1:2">
      <c r="A222" s="147" t="s">
        <v>1176</v>
      </c>
      <c r="B222" s="147" t="s">
        <v>1177</v>
      </c>
    </row>
    <row r="223" spans="1:2">
      <c r="A223" s="147" t="s">
        <v>1178</v>
      </c>
      <c r="B223" s="147" t="s">
        <v>1179</v>
      </c>
    </row>
    <row r="224" spans="1:2">
      <c r="A224" s="147" t="s">
        <v>1180</v>
      </c>
      <c r="B224" s="147" t="s">
        <v>1181</v>
      </c>
    </row>
    <row r="225" spans="1:2">
      <c r="A225" s="147" t="s">
        <v>1182</v>
      </c>
      <c r="B225" s="147" t="s">
        <v>1183</v>
      </c>
    </row>
    <row r="226" spans="1:2">
      <c r="A226" s="147" t="s">
        <v>1184</v>
      </c>
      <c r="B226" s="147" t="s">
        <v>1185</v>
      </c>
    </row>
    <row r="227" spans="1:2">
      <c r="A227" s="147" t="s">
        <v>1186</v>
      </c>
      <c r="B227" s="147" t="s">
        <v>1187</v>
      </c>
    </row>
    <row r="228" spans="1:2">
      <c r="A228" s="147" t="s">
        <v>1188</v>
      </c>
      <c r="B228" s="147" t="s">
        <v>1189</v>
      </c>
    </row>
    <row r="229" spans="1:2">
      <c r="A229" s="147" t="s">
        <v>1190</v>
      </c>
      <c r="B229" s="147" t="s">
        <v>1191</v>
      </c>
    </row>
    <row r="230" spans="1:2">
      <c r="A230" s="147" t="s">
        <v>1192</v>
      </c>
      <c r="B230" s="147" t="s">
        <v>1193</v>
      </c>
    </row>
    <row r="231" spans="1:2">
      <c r="A231" s="147" t="s">
        <v>1194</v>
      </c>
      <c r="B231" s="147" t="s">
        <v>1195</v>
      </c>
    </row>
    <row r="232" spans="1:2">
      <c r="A232" s="147" t="s">
        <v>1196</v>
      </c>
      <c r="B232" s="147" t="s">
        <v>1197</v>
      </c>
    </row>
    <row r="233" spans="1:2">
      <c r="A233" s="147" t="s">
        <v>1198</v>
      </c>
      <c r="B233" s="147" t="s">
        <v>1199</v>
      </c>
    </row>
    <row r="234" spans="1:2">
      <c r="A234" s="147" t="s">
        <v>1200</v>
      </c>
      <c r="B234" s="147" t="s">
        <v>1201</v>
      </c>
    </row>
    <row r="235" spans="1:2">
      <c r="A235" s="147" t="s">
        <v>1202</v>
      </c>
      <c r="B235" s="147" t="s">
        <v>1203</v>
      </c>
    </row>
    <row r="236" spans="1:2">
      <c r="A236" s="147" t="s">
        <v>1204</v>
      </c>
      <c r="B236" s="147" t="s">
        <v>1205</v>
      </c>
    </row>
    <row r="237" spans="1:2">
      <c r="A237" s="147" t="s">
        <v>1206</v>
      </c>
      <c r="B237" s="147" t="s">
        <v>1207</v>
      </c>
    </row>
    <row r="238" spans="1:2">
      <c r="A238" s="147" t="s">
        <v>1208</v>
      </c>
      <c r="B238" s="147" t="s">
        <v>1209</v>
      </c>
    </row>
    <row r="239" spans="1:2">
      <c r="A239" s="147" t="s">
        <v>1210</v>
      </c>
      <c r="B239" s="147" t="s">
        <v>1211</v>
      </c>
    </row>
    <row r="240" spans="1:2">
      <c r="A240" s="147" t="s">
        <v>1212</v>
      </c>
      <c r="B240" s="147" t="s">
        <v>1213</v>
      </c>
    </row>
    <row r="241" spans="1:2">
      <c r="A241" s="147" t="s">
        <v>1214</v>
      </c>
      <c r="B241" s="147" t="s">
        <v>1215</v>
      </c>
    </row>
    <row r="242" spans="1:2">
      <c r="A242" s="147" t="s">
        <v>1216</v>
      </c>
      <c r="B242" s="147" t="s">
        <v>1217</v>
      </c>
    </row>
    <row r="243" spans="1:2">
      <c r="A243" s="147" t="s">
        <v>1218</v>
      </c>
      <c r="B243" s="147" t="s">
        <v>1219</v>
      </c>
    </row>
    <row r="244" spans="1:2">
      <c r="A244" s="147" t="s">
        <v>1220</v>
      </c>
      <c r="B244" s="147" t="s">
        <v>1221</v>
      </c>
    </row>
    <row r="245" spans="1:2">
      <c r="A245" s="147" t="s">
        <v>1222</v>
      </c>
      <c r="B245" s="147" t="s">
        <v>1223</v>
      </c>
    </row>
    <row r="246" spans="1:2">
      <c r="A246" s="147" t="s">
        <v>1224</v>
      </c>
      <c r="B246" s="147" t="s">
        <v>1225</v>
      </c>
    </row>
    <row r="247" spans="1:2">
      <c r="A247" s="147" t="s">
        <v>1226</v>
      </c>
      <c r="B247" s="147" t="s">
        <v>1035</v>
      </c>
    </row>
    <row r="248" spans="1:2">
      <c r="A248" s="147" t="s">
        <v>1227</v>
      </c>
      <c r="B248" s="147" t="s">
        <v>1228</v>
      </c>
    </row>
    <row r="249" spans="1:2">
      <c r="A249" s="147" t="s">
        <v>1229</v>
      </c>
      <c r="B249" s="147" t="s">
        <v>1230</v>
      </c>
    </row>
    <row r="250" spans="1:2">
      <c r="A250" s="147" t="s">
        <v>1231</v>
      </c>
      <c r="B250" s="147" t="s">
        <v>1232</v>
      </c>
    </row>
    <row r="251" spans="1:2">
      <c r="A251" s="147" t="s">
        <v>1233</v>
      </c>
      <c r="B251" s="147" t="s">
        <v>1234</v>
      </c>
    </row>
    <row r="252" spans="1:2">
      <c r="A252" s="147" t="s">
        <v>1235</v>
      </c>
      <c r="B252" s="147" t="s">
        <v>1236</v>
      </c>
    </row>
  </sheetData>
  <phoneticPr fontId="2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FF850-1A03-4888-9D37-5B035D351DEA}">
  <dimension ref="A1:C171"/>
  <sheetViews>
    <sheetView topLeftCell="A52" workbookViewId="0">
      <selection activeCell="B76" sqref="B76"/>
    </sheetView>
  </sheetViews>
  <sheetFormatPr defaultRowHeight="16.5"/>
  <cols>
    <col min="1" max="1" width="20.625" customWidth="1"/>
    <col min="2" max="2" width="28.75" customWidth="1"/>
    <col min="3" max="3" width="122.375" customWidth="1"/>
  </cols>
  <sheetData>
    <row r="1" spans="1:3">
      <c r="A1" s="140" t="s">
        <v>429</v>
      </c>
      <c r="B1" s="140" t="s">
        <v>430</v>
      </c>
      <c r="C1" s="140" t="s">
        <v>2</v>
      </c>
    </row>
    <row r="2" spans="1:3">
      <c r="A2" s="196" t="s">
        <v>431</v>
      </c>
      <c r="B2" s="141" t="s">
        <v>432</v>
      </c>
      <c r="C2" s="141" t="s">
        <v>428</v>
      </c>
    </row>
    <row r="3" spans="1:3">
      <c r="A3" s="196"/>
      <c r="B3" s="141" t="s">
        <v>433</v>
      </c>
      <c r="C3" s="141" t="s">
        <v>434</v>
      </c>
    </row>
    <row r="4" spans="1:3">
      <c r="A4" s="196"/>
      <c r="B4" s="141" t="s">
        <v>435</v>
      </c>
      <c r="C4" s="141" t="s">
        <v>436</v>
      </c>
    </row>
    <row r="5" spans="1:3">
      <c r="A5" s="196"/>
      <c r="B5" s="141" t="s">
        <v>437</v>
      </c>
      <c r="C5" s="141" t="s">
        <v>438</v>
      </c>
    </row>
    <row r="6" spans="1:3">
      <c r="A6" s="196"/>
      <c r="B6" s="141" t="s">
        <v>439</v>
      </c>
      <c r="C6" s="141" t="s">
        <v>440</v>
      </c>
    </row>
    <row r="7" spans="1:3">
      <c r="A7" s="197" t="s">
        <v>441</v>
      </c>
      <c r="B7" s="142" t="s">
        <v>432</v>
      </c>
      <c r="C7" s="142" t="s">
        <v>442</v>
      </c>
    </row>
    <row r="8" spans="1:3">
      <c r="A8" s="197"/>
      <c r="B8" s="142" t="s">
        <v>433</v>
      </c>
      <c r="C8" s="142" t="s">
        <v>443</v>
      </c>
    </row>
    <row r="9" spans="1:3">
      <c r="A9" s="197"/>
      <c r="B9" s="142" t="s">
        <v>435</v>
      </c>
      <c r="C9" s="142" t="s">
        <v>444</v>
      </c>
    </row>
    <row r="10" spans="1:3">
      <c r="A10" s="196" t="s">
        <v>445</v>
      </c>
      <c r="B10" s="141" t="s">
        <v>432</v>
      </c>
      <c r="C10" s="141" t="s">
        <v>446</v>
      </c>
    </row>
    <row r="11" spans="1:3">
      <c r="A11" s="196"/>
      <c r="B11" s="141" t="s">
        <v>433</v>
      </c>
      <c r="C11" s="141" t="s">
        <v>447</v>
      </c>
    </row>
    <row r="12" spans="1:3">
      <c r="A12" s="196"/>
      <c r="B12" s="141" t="s">
        <v>437</v>
      </c>
      <c r="C12" s="141" t="s">
        <v>448</v>
      </c>
    </row>
    <row r="13" spans="1:3">
      <c r="A13" s="196"/>
      <c r="B13" s="141" t="s">
        <v>439</v>
      </c>
      <c r="C13" s="141" t="s">
        <v>449</v>
      </c>
    </row>
    <row r="14" spans="1:3">
      <c r="A14" s="196"/>
      <c r="B14" s="141" t="s">
        <v>450</v>
      </c>
      <c r="C14" s="141" t="s">
        <v>451</v>
      </c>
    </row>
    <row r="15" spans="1:3">
      <c r="A15" s="196"/>
      <c r="B15" s="141" t="s">
        <v>452</v>
      </c>
      <c r="C15" s="141" t="s">
        <v>453</v>
      </c>
    </row>
    <row r="16" spans="1:3">
      <c r="A16" s="196"/>
      <c r="B16" s="141" t="s">
        <v>454</v>
      </c>
      <c r="C16" s="141" t="s">
        <v>455</v>
      </c>
    </row>
    <row r="17" spans="1:3">
      <c r="A17" s="197" t="s">
        <v>456</v>
      </c>
      <c r="B17" s="142" t="s">
        <v>432</v>
      </c>
      <c r="C17" s="142" t="s">
        <v>457</v>
      </c>
    </row>
    <row r="18" spans="1:3">
      <c r="A18" s="197"/>
      <c r="B18" s="142" t="s">
        <v>433</v>
      </c>
      <c r="C18" s="142" t="s">
        <v>458</v>
      </c>
    </row>
    <row r="19" spans="1:3">
      <c r="A19" s="196" t="s">
        <v>459</v>
      </c>
      <c r="B19" s="141" t="s">
        <v>432</v>
      </c>
      <c r="C19" s="141" t="s">
        <v>460</v>
      </c>
    </row>
    <row r="20" spans="1:3">
      <c r="A20" s="196"/>
      <c r="B20" s="141" t="s">
        <v>433</v>
      </c>
      <c r="C20" s="141" t="s">
        <v>461</v>
      </c>
    </row>
    <row r="21" spans="1:3">
      <c r="A21" s="196"/>
      <c r="B21" s="141" t="s">
        <v>435</v>
      </c>
      <c r="C21" s="141" t="s">
        <v>462</v>
      </c>
    </row>
    <row r="22" spans="1:3">
      <c r="A22" s="196"/>
      <c r="B22" s="141" t="s">
        <v>437</v>
      </c>
      <c r="C22" s="141" t="s">
        <v>463</v>
      </c>
    </row>
    <row r="23" spans="1:3">
      <c r="A23" s="196"/>
      <c r="B23" s="141" t="s">
        <v>439</v>
      </c>
      <c r="C23" s="141" t="s">
        <v>464</v>
      </c>
    </row>
    <row r="24" spans="1:3">
      <c r="A24" s="196"/>
      <c r="B24" s="141" t="s">
        <v>450</v>
      </c>
      <c r="C24" s="141" t="s">
        <v>465</v>
      </c>
    </row>
    <row r="25" spans="1:3">
      <c r="A25" s="196"/>
      <c r="B25" s="141" t="s">
        <v>452</v>
      </c>
      <c r="C25" s="141" t="s">
        <v>466</v>
      </c>
    </row>
    <row r="26" spans="1:3">
      <c r="A26" s="196"/>
      <c r="B26" s="141" t="s">
        <v>454</v>
      </c>
      <c r="C26" s="141" t="s">
        <v>467</v>
      </c>
    </row>
    <row r="27" spans="1:3">
      <c r="A27" s="196"/>
      <c r="B27" s="141" t="s">
        <v>468</v>
      </c>
      <c r="C27" s="141" t="s">
        <v>469</v>
      </c>
    </row>
    <row r="28" spans="1:3">
      <c r="A28" s="196"/>
      <c r="B28" s="141" t="s">
        <v>470</v>
      </c>
      <c r="C28" s="141" t="s">
        <v>471</v>
      </c>
    </row>
    <row r="29" spans="1:3">
      <c r="A29" s="196"/>
      <c r="B29" s="141" t="s">
        <v>472</v>
      </c>
      <c r="C29" s="141" t="s">
        <v>473</v>
      </c>
    </row>
    <row r="30" spans="1:3">
      <c r="A30" s="196"/>
      <c r="B30" s="141" t="s">
        <v>474</v>
      </c>
      <c r="C30" s="141" t="s">
        <v>475</v>
      </c>
    </row>
    <row r="31" spans="1:3">
      <c r="A31" s="196"/>
      <c r="B31" s="141" t="s">
        <v>476</v>
      </c>
      <c r="C31" s="141" t="s">
        <v>477</v>
      </c>
    </row>
    <row r="32" spans="1:3">
      <c r="A32" s="196"/>
      <c r="B32" s="141" t="s">
        <v>478</v>
      </c>
      <c r="C32" s="141" t="s">
        <v>479</v>
      </c>
    </row>
    <row r="33" spans="1:3">
      <c r="A33" s="196"/>
      <c r="B33" s="141" t="s">
        <v>480</v>
      </c>
      <c r="C33" s="141" t="s">
        <v>481</v>
      </c>
    </row>
    <row r="34" spans="1:3">
      <c r="A34" s="196"/>
      <c r="B34" s="141" t="s">
        <v>482</v>
      </c>
      <c r="C34" s="141" t="s">
        <v>483</v>
      </c>
    </row>
    <row r="35" spans="1:3">
      <c r="A35" s="196"/>
      <c r="B35" s="141" t="s">
        <v>484</v>
      </c>
      <c r="C35" s="141" t="s">
        <v>485</v>
      </c>
    </row>
    <row r="36" spans="1:3">
      <c r="A36" s="196"/>
      <c r="B36" s="141" t="s">
        <v>486</v>
      </c>
      <c r="C36" s="141" t="s">
        <v>487</v>
      </c>
    </row>
    <row r="37" spans="1:3">
      <c r="A37" s="196"/>
      <c r="B37" s="141" t="s">
        <v>488</v>
      </c>
      <c r="C37" s="141" t="s">
        <v>489</v>
      </c>
    </row>
    <row r="38" spans="1:3">
      <c r="A38" s="196"/>
      <c r="B38" s="141" t="s">
        <v>490</v>
      </c>
      <c r="C38" s="141" t="s">
        <v>491</v>
      </c>
    </row>
    <row r="39" spans="1:3">
      <c r="A39" s="196"/>
      <c r="B39" s="141" t="s">
        <v>492</v>
      </c>
      <c r="C39" s="141" t="s">
        <v>493</v>
      </c>
    </row>
    <row r="40" spans="1:3">
      <c r="A40" s="196"/>
      <c r="B40" s="141" t="s">
        <v>494</v>
      </c>
      <c r="C40" s="141" t="s">
        <v>495</v>
      </c>
    </row>
    <row r="41" spans="1:3">
      <c r="A41" s="196"/>
      <c r="B41" s="141" t="s">
        <v>496</v>
      </c>
      <c r="C41" s="141" t="s">
        <v>497</v>
      </c>
    </row>
    <row r="42" spans="1:3">
      <c r="A42" s="196"/>
      <c r="B42" s="141" t="s">
        <v>498</v>
      </c>
      <c r="C42" s="141" t="s">
        <v>499</v>
      </c>
    </row>
    <row r="43" spans="1:3">
      <c r="A43" s="196"/>
      <c r="B43" s="141" t="s">
        <v>500</v>
      </c>
      <c r="C43" s="141" t="s">
        <v>501</v>
      </c>
    </row>
    <row r="44" spans="1:3">
      <c r="A44" s="196"/>
      <c r="B44" s="141" t="s">
        <v>502</v>
      </c>
      <c r="C44" s="141" t="s">
        <v>503</v>
      </c>
    </row>
    <row r="45" spans="1:3">
      <c r="A45" s="196"/>
      <c r="B45" s="141" t="s">
        <v>504</v>
      </c>
      <c r="C45" s="141" t="s">
        <v>505</v>
      </c>
    </row>
    <row r="46" spans="1:3">
      <c r="A46" s="196"/>
      <c r="B46" s="141" t="s">
        <v>506</v>
      </c>
      <c r="C46" s="141" t="s">
        <v>507</v>
      </c>
    </row>
    <row r="47" spans="1:3">
      <c r="A47" s="196"/>
      <c r="B47" s="141" t="s">
        <v>508</v>
      </c>
      <c r="C47" s="141" t="s">
        <v>509</v>
      </c>
    </row>
    <row r="48" spans="1:3">
      <c r="A48" s="196"/>
      <c r="B48" s="141" t="s">
        <v>510</v>
      </c>
      <c r="C48" s="141" t="s">
        <v>511</v>
      </c>
    </row>
    <row r="49" spans="1:3">
      <c r="A49" s="196"/>
      <c r="B49" s="141" t="s">
        <v>512</v>
      </c>
      <c r="C49" s="141" t="s">
        <v>513</v>
      </c>
    </row>
    <row r="50" spans="1:3">
      <c r="A50" s="196"/>
      <c r="B50" s="141" t="s">
        <v>514</v>
      </c>
      <c r="C50" s="141" t="s">
        <v>515</v>
      </c>
    </row>
    <row r="51" spans="1:3">
      <c r="A51" s="196"/>
      <c r="B51" s="141" t="s">
        <v>516</v>
      </c>
      <c r="C51" s="141" t="s">
        <v>517</v>
      </c>
    </row>
    <row r="52" spans="1:3">
      <c r="A52" s="196"/>
      <c r="B52" s="141" t="s">
        <v>518</v>
      </c>
      <c r="C52" s="141" t="s">
        <v>519</v>
      </c>
    </row>
    <row r="53" spans="1:3">
      <c r="A53" s="196"/>
      <c r="B53" s="141" t="s">
        <v>520</v>
      </c>
      <c r="C53" s="141" t="s">
        <v>521</v>
      </c>
    </row>
    <row r="54" spans="1:3">
      <c r="A54" s="196"/>
      <c r="B54" s="141" t="s">
        <v>522</v>
      </c>
      <c r="C54" s="141" t="s">
        <v>523</v>
      </c>
    </row>
    <row r="55" spans="1:3">
      <c r="A55" s="196"/>
      <c r="B55" s="141" t="s">
        <v>524</v>
      </c>
      <c r="C55" s="141" t="s">
        <v>525</v>
      </c>
    </row>
    <row r="56" spans="1:3">
      <c r="A56" s="196"/>
      <c r="B56" s="141" t="s">
        <v>526</v>
      </c>
      <c r="C56" s="141" t="s">
        <v>527</v>
      </c>
    </row>
    <row r="57" spans="1:3">
      <c r="A57" s="196"/>
      <c r="B57" s="141" t="s">
        <v>528</v>
      </c>
      <c r="C57" s="141" t="s">
        <v>529</v>
      </c>
    </row>
    <row r="58" spans="1:3">
      <c r="A58" s="196"/>
      <c r="B58" s="141" t="s">
        <v>530</v>
      </c>
      <c r="C58" s="141" t="s">
        <v>531</v>
      </c>
    </row>
    <row r="59" spans="1:3">
      <c r="A59" s="196"/>
      <c r="B59" s="141" t="s">
        <v>532</v>
      </c>
      <c r="C59" s="141" t="s">
        <v>533</v>
      </c>
    </row>
    <row r="60" spans="1:3">
      <c r="A60" s="197" t="s">
        <v>534</v>
      </c>
      <c r="B60" s="142" t="s">
        <v>432</v>
      </c>
      <c r="C60" s="142" t="s">
        <v>535</v>
      </c>
    </row>
    <row r="61" spans="1:3">
      <c r="A61" s="197"/>
      <c r="B61" s="142" t="s">
        <v>433</v>
      </c>
      <c r="C61" s="142" t="s">
        <v>536</v>
      </c>
    </row>
    <row r="62" spans="1:3">
      <c r="A62" s="197"/>
      <c r="B62" s="142" t="s">
        <v>435</v>
      </c>
      <c r="C62" s="142" t="s">
        <v>537</v>
      </c>
    </row>
    <row r="63" spans="1:3">
      <c r="A63" s="197"/>
      <c r="B63" s="142" t="s">
        <v>437</v>
      </c>
      <c r="C63" s="142" t="s">
        <v>538</v>
      </c>
    </row>
    <row r="64" spans="1:3">
      <c r="A64" s="197"/>
      <c r="B64" s="142" t="s">
        <v>450</v>
      </c>
      <c r="C64" s="142" t="s">
        <v>539</v>
      </c>
    </row>
    <row r="65" spans="1:3">
      <c r="A65" s="197"/>
      <c r="B65" s="142" t="s">
        <v>452</v>
      </c>
      <c r="C65" s="142" t="s">
        <v>540</v>
      </c>
    </row>
    <row r="66" spans="1:3">
      <c r="A66" s="197"/>
      <c r="B66" s="142" t="s">
        <v>454</v>
      </c>
      <c r="C66" s="142" t="s">
        <v>541</v>
      </c>
    </row>
    <row r="67" spans="1:3">
      <c r="A67" s="197"/>
      <c r="B67" s="142" t="s">
        <v>468</v>
      </c>
      <c r="C67" s="142" t="s">
        <v>542</v>
      </c>
    </row>
    <row r="68" spans="1:3">
      <c r="A68" s="197"/>
      <c r="B68" s="142" t="s">
        <v>470</v>
      </c>
      <c r="C68" s="142" t="s">
        <v>543</v>
      </c>
    </row>
    <row r="69" spans="1:3">
      <c r="A69" s="197"/>
      <c r="B69" s="142" t="s">
        <v>472</v>
      </c>
      <c r="C69" s="142" t="s">
        <v>544</v>
      </c>
    </row>
    <row r="70" spans="1:3">
      <c r="A70" s="196" t="s">
        <v>545</v>
      </c>
      <c r="B70" s="141" t="s">
        <v>432</v>
      </c>
      <c r="C70" s="141" t="s">
        <v>546</v>
      </c>
    </row>
    <row r="71" spans="1:3">
      <c r="A71" s="196"/>
      <c r="B71" s="141" t="s">
        <v>433</v>
      </c>
      <c r="C71" s="141" t="s">
        <v>547</v>
      </c>
    </row>
    <row r="72" spans="1:3">
      <c r="A72" s="197" t="s">
        <v>548</v>
      </c>
      <c r="B72" s="142" t="s">
        <v>432</v>
      </c>
      <c r="C72" s="142" t="s">
        <v>549</v>
      </c>
    </row>
    <row r="73" spans="1:3">
      <c r="A73" s="197"/>
      <c r="B73" s="142" t="s">
        <v>433</v>
      </c>
      <c r="C73" s="142" t="s">
        <v>550</v>
      </c>
    </row>
    <row r="74" spans="1:3">
      <c r="A74" s="197"/>
      <c r="B74" s="142" t="s">
        <v>435</v>
      </c>
      <c r="C74" s="142" t="s">
        <v>551</v>
      </c>
    </row>
    <row r="75" spans="1:3">
      <c r="A75" s="197"/>
      <c r="B75" s="142" t="s">
        <v>437</v>
      </c>
      <c r="C75" s="142" t="s">
        <v>552</v>
      </c>
    </row>
    <row r="76" spans="1:3">
      <c r="A76" s="196" t="s">
        <v>553</v>
      </c>
      <c r="B76" s="141" t="s">
        <v>432</v>
      </c>
      <c r="C76" s="141" t="s">
        <v>554</v>
      </c>
    </row>
    <row r="77" spans="1:3">
      <c r="A77" s="196"/>
      <c r="B77" s="141" t="s">
        <v>433</v>
      </c>
      <c r="C77" s="141" t="s">
        <v>555</v>
      </c>
    </row>
    <row r="78" spans="1:3">
      <c r="A78" s="196"/>
      <c r="B78" s="141" t="s">
        <v>435</v>
      </c>
      <c r="C78" s="141" t="s">
        <v>556</v>
      </c>
    </row>
    <row r="79" spans="1:3">
      <c r="A79" s="197" t="s">
        <v>557</v>
      </c>
      <c r="B79" s="142" t="s">
        <v>432</v>
      </c>
      <c r="C79" s="142" t="s">
        <v>558</v>
      </c>
    </row>
    <row r="80" spans="1:3">
      <c r="A80" s="197"/>
      <c r="B80" s="142" t="s">
        <v>433</v>
      </c>
      <c r="C80" s="142" t="s">
        <v>559</v>
      </c>
    </row>
    <row r="81" spans="1:3">
      <c r="A81" s="197"/>
      <c r="B81" s="142" t="s">
        <v>435</v>
      </c>
      <c r="C81" s="142" t="s">
        <v>560</v>
      </c>
    </row>
    <row r="82" spans="1:3">
      <c r="A82" s="197"/>
      <c r="B82" s="142" t="s">
        <v>437</v>
      </c>
      <c r="C82" s="142" t="s">
        <v>561</v>
      </c>
    </row>
    <row r="83" spans="1:3">
      <c r="A83" s="197"/>
      <c r="B83" s="142" t="s">
        <v>439</v>
      </c>
      <c r="C83" s="142" t="s">
        <v>562</v>
      </c>
    </row>
    <row r="84" spans="1:3">
      <c r="A84" s="196" t="s">
        <v>563</v>
      </c>
      <c r="B84" s="141" t="s">
        <v>432</v>
      </c>
      <c r="C84" s="141" t="s">
        <v>564</v>
      </c>
    </row>
    <row r="85" spans="1:3">
      <c r="A85" s="196"/>
      <c r="B85" s="141" t="s">
        <v>433</v>
      </c>
      <c r="C85" s="141" t="s">
        <v>565</v>
      </c>
    </row>
    <row r="86" spans="1:3">
      <c r="A86" s="196"/>
      <c r="B86" s="141" t="s">
        <v>472</v>
      </c>
      <c r="C86" s="141" t="s">
        <v>566</v>
      </c>
    </row>
    <row r="87" spans="1:3">
      <c r="A87" s="196"/>
      <c r="B87" s="141" t="s">
        <v>490</v>
      </c>
      <c r="C87" s="141" t="s">
        <v>567</v>
      </c>
    </row>
    <row r="88" spans="1:3">
      <c r="A88" s="196"/>
      <c r="B88" s="141" t="s">
        <v>492</v>
      </c>
      <c r="C88" s="141" t="s">
        <v>568</v>
      </c>
    </row>
    <row r="89" spans="1:3">
      <c r="A89" s="196"/>
      <c r="B89" s="141" t="s">
        <v>498</v>
      </c>
      <c r="C89" s="141" t="s">
        <v>569</v>
      </c>
    </row>
    <row r="90" spans="1:3">
      <c r="A90" s="196"/>
      <c r="B90" s="141" t="s">
        <v>506</v>
      </c>
      <c r="C90" s="141" t="s">
        <v>570</v>
      </c>
    </row>
    <row r="91" spans="1:3">
      <c r="A91" s="196"/>
      <c r="B91" s="141" t="s">
        <v>516</v>
      </c>
      <c r="C91" s="141" t="s">
        <v>571</v>
      </c>
    </row>
    <row r="92" spans="1:3">
      <c r="A92" s="196"/>
      <c r="B92" s="141" t="s">
        <v>572</v>
      </c>
      <c r="C92" s="141" t="s">
        <v>573</v>
      </c>
    </row>
    <row r="93" spans="1:3">
      <c r="A93" s="196"/>
      <c r="B93" s="141" t="s">
        <v>574</v>
      </c>
      <c r="C93" s="141" t="s">
        <v>575</v>
      </c>
    </row>
    <row r="94" spans="1:3">
      <c r="A94" s="196"/>
      <c r="B94" s="141" t="s">
        <v>576</v>
      </c>
      <c r="C94" s="141" t="s">
        <v>577</v>
      </c>
    </row>
    <row r="95" spans="1:3">
      <c r="A95" s="196"/>
      <c r="B95" s="141" t="s">
        <v>578</v>
      </c>
      <c r="C95" s="141" t="s">
        <v>579</v>
      </c>
    </row>
    <row r="96" spans="1:3">
      <c r="A96" s="196"/>
      <c r="B96" s="141" t="s">
        <v>580</v>
      </c>
      <c r="C96" s="141" t="s">
        <v>581</v>
      </c>
    </row>
    <row r="97" spans="1:3">
      <c r="A97" s="196"/>
      <c r="B97" s="141" t="s">
        <v>582</v>
      </c>
      <c r="C97" s="141" t="s">
        <v>583</v>
      </c>
    </row>
    <row r="98" spans="1:3">
      <c r="A98" s="196"/>
      <c r="B98" s="141" t="s">
        <v>584</v>
      </c>
      <c r="C98" s="141" t="s">
        <v>585</v>
      </c>
    </row>
    <row r="99" spans="1:3">
      <c r="A99" s="196"/>
      <c r="B99" s="141" t="s">
        <v>586</v>
      </c>
      <c r="C99" s="141" t="s">
        <v>587</v>
      </c>
    </row>
    <row r="100" spans="1:3">
      <c r="A100" s="196"/>
      <c r="B100" s="141" t="s">
        <v>588</v>
      </c>
      <c r="C100" s="141" t="s">
        <v>589</v>
      </c>
    </row>
    <row r="101" spans="1:3">
      <c r="A101" s="196"/>
      <c r="B101" s="141" t="s">
        <v>590</v>
      </c>
      <c r="C101" s="141" t="s">
        <v>591</v>
      </c>
    </row>
    <row r="102" spans="1:3">
      <c r="A102" s="196"/>
      <c r="B102" s="141" t="s">
        <v>592</v>
      </c>
      <c r="C102" s="141" t="s">
        <v>593</v>
      </c>
    </row>
    <row r="103" spans="1:3">
      <c r="A103" s="196"/>
      <c r="B103" s="141" t="s">
        <v>594</v>
      </c>
      <c r="C103" s="141" t="s">
        <v>595</v>
      </c>
    </row>
    <row r="104" spans="1:3">
      <c r="A104" s="196"/>
      <c r="B104" s="141" t="s">
        <v>596</v>
      </c>
      <c r="C104" s="141" t="s">
        <v>597</v>
      </c>
    </row>
    <row r="105" spans="1:3">
      <c r="A105" s="196"/>
      <c r="B105" s="141" t="s">
        <v>598</v>
      </c>
      <c r="C105" s="141" t="s">
        <v>599</v>
      </c>
    </row>
    <row r="106" spans="1:3">
      <c r="A106" s="196"/>
      <c r="B106" s="141" t="s">
        <v>600</v>
      </c>
      <c r="C106" s="141" t="s">
        <v>601</v>
      </c>
    </row>
    <row r="107" spans="1:3">
      <c r="A107" s="196"/>
      <c r="B107" s="141" t="s">
        <v>602</v>
      </c>
      <c r="C107" s="141" t="s">
        <v>603</v>
      </c>
    </row>
    <row r="108" spans="1:3">
      <c r="A108" s="196"/>
      <c r="B108" s="141" t="s">
        <v>604</v>
      </c>
      <c r="C108" s="141" t="s">
        <v>605</v>
      </c>
    </row>
    <row r="109" spans="1:3">
      <c r="A109" s="196"/>
      <c r="B109" s="141" t="s">
        <v>606</v>
      </c>
      <c r="C109" s="141" t="s">
        <v>607</v>
      </c>
    </row>
    <row r="110" spans="1:3">
      <c r="A110" s="196"/>
      <c r="B110" s="141" t="s">
        <v>608</v>
      </c>
      <c r="C110" s="141" t="s">
        <v>609</v>
      </c>
    </row>
    <row r="111" spans="1:3">
      <c r="A111" s="196"/>
      <c r="B111" s="141" t="s">
        <v>610</v>
      </c>
      <c r="C111" s="141" t="s">
        <v>611</v>
      </c>
    </row>
    <row r="112" spans="1:3">
      <c r="A112" s="196"/>
      <c r="B112" s="141" t="s">
        <v>612</v>
      </c>
      <c r="C112" s="141" t="s">
        <v>613</v>
      </c>
    </row>
    <row r="113" spans="1:3">
      <c r="A113" s="196"/>
      <c r="B113" s="141" t="s">
        <v>614</v>
      </c>
      <c r="C113" s="141" t="s">
        <v>615</v>
      </c>
    </row>
    <row r="114" spans="1:3">
      <c r="A114" s="196"/>
      <c r="B114" s="141" t="s">
        <v>616</v>
      </c>
      <c r="C114" s="141" t="s">
        <v>617</v>
      </c>
    </row>
    <row r="115" spans="1:3">
      <c r="A115" s="196"/>
      <c r="B115" s="141" t="s">
        <v>618</v>
      </c>
      <c r="C115" s="141" t="s">
        <v>619</v>
      </c>
    </row>
    <row r="116" spans="1:3">
      <c r="A116" s="196"/>
      <c r="B116" s="141" t="s">
        <v>620</v>
      </c>
      <c r="C116" s="141" t="s">
        <v>621</v>
      </c>
    </row>
    <row r="117" spans="1:3">
      <c r="A117" s="196"/>
      <c r="B117" s="141" t="s">
        <v>622</v>
      </c>
      <c r="C117" s="141" t="s">
        <v>623</v>
      </c>
    </row>
    <row r="118" spans="1:3">
      <c r="A118" s="196"/>
      <c r="B118" s="141" t="s">
        <v>624</v>
      </c>
      <c r="C118" s="141" t="s">
        <v>625</v>
      </c>
    </row>
    <row r="119" spans="1:3">
      <c r="A119" s="196"/>
      <c r="B119" s="141" t="s">
        <v>626</v>
      </c>
      <c r="C119" s="141" t="s">
        <v>627</v>
      </c>
    </row>
    <row r="120" spans="1:3">
      <c r="A120" s="196"/>
      <c r="B120" s="141" t="s">
        <v>628</v>
      </c>
      <c r="C120" s="141" t="s">
        <v>629</v>
      </c>
    </row>
    <row r="121" spans="1:3">
      <c r="A121" s="196"/>
      <c r="B121" s="141" t="s">
        <v>630</v>
      </c>
      <c r="C121" s="141" t="s">
        <v>631</v>
      </c>
    </row>
    <row r="122" spans="1:3">
      <c r="A122" s="196"/>
      <c r="B122" s="141" t="s">
        <v>632</v>
      </c>
      <c r="C122" s="141" t="s">
        <v>633</v>
      </c>
    </row>
    <row r="123" spans="1:3">
      <c r="A123" s="196"/>
      <c r="B123" s="141" t="s">
        <v>634</v>
      </c>
      <c r="C123" s="141" t="s">
        <v>635</v>
      </c>
    </row>
    <row r="124" spans="1:3">
      <c r="A124" s="196"/>
      <c r="B124" s="141" t="s">
        <v>636</v>
      </c>
      <c r="C124" s="141" t="s">
        <v>637</v>
      </c>
    </row>
    <row r="125" spans="1:3">
      <c r="A125" s="196"/>
      <c r="B125" s="141" t="s">
        <v>638</v>
      </c>
      <c r="C125" s="141" t="s">
        <v>639</v>
      </c>
    </row>
    <row r="126" spans="1:3">
      <c r="A126" s="196"/>
      <c r="B126" s="141" t="s">
        <v>640</v>
      </c>
      <c r="C126" s="141" t="s">
        <v>641</v>
      </c>
    </row>
    <row r="127" spans="1:3">
      <c r="A127" s="196"/>
      <c r="B127" s="141" t="s">
        <v>642</v>
      </c>
      <c r="C127" s="141" t="s">
        <v>643</v>
      </c>
    </row>
    <row r="128" spans="1:3">
      <c r="A128" s="196"/>
      <c r="B128" s="141" t="s">
        <v>644</v>
      </c>
      <c r="C128" s="141" t="s">
        <v>645</v>
      </c>
    </row>
    <row r="129" spans="1:3">
      <c r="A129" s="196"/>
      <c r="B129" s="141" t="s">
        <v>646</v>
      </c>
      <c r="C129" s="141" t="s">
        <v>647</v>
      </c>
    </row>
    <row r="130" spans="1:3">
      <c r="A130" s="196"/>
      <c r="B130" s="141" t="s">
        <v>648</v>
      </c>
      <c r="C130" s="141" t="s">
        <v>649</v>
      </c>
    </row>
    <row r="131" spans="1:3">
      <c r="A131" s="196"/>
      <c r="B131" s="141" t="s">
        <v>650</v>
      </c>
      <c r="C131" s="141" t="s">
        <v>651</v>
      </c>
    </row>
    <row r="132" spans="1:3">
      <c r="A132" s="196"/>
      <c r="B132" s="141" t="s">
        <v>652</v>
      </c>
      <c r="C132" s="141" t="s">
        <v>653</v>
      </c>
    </row>
    <row r="133" spans="1:3">
      <c r="A133" s="196"/>
      <c r="B133" s="141" t="s">
        <v>654</v>
      </c>
      <c r="C133" s="141" t="s">
        <v>655</v>
      </c>
    </row>
    <row r="134" spans="1:3">
      <c r="A134" s="196"/>
      <c r="B134" s="141" t="s">
        <v>656</v>
      </c>
      <c r="C134" s="141" t="s">
        <v>657</v>
      </c>
    </row>
    <row r="135" spans="1:3">
      <c r="A135" s="196"/>
      <c r="B135" s="141" t="s">
        <v>658</v>
      </c>
      <c r="C135" s="141" t="s">
        <v>659</v>
      </c>
    </row>
    <row r="136" spans="1:3">
      <c r="A136" s="196"/>
      <c r="B136" s="141" t="s">
        <v>660</v>
      </c>
      <c r="C136" s="141" t="s">
        <v>661</v>
      </c>
    </row>
    <row r="137" spans="1:3">
      <c r="A137" s="196"/>
      <c r="B137" s="141" t="s">
        <v>662</v>
      </c>
      <c r="C137" s="141" t="s">
        <v>663</v>
      </c>
    </row>
    <row r="138" spans="1:3">
      <c r="A138" s="196"/>
      <c r="B138" s="141" t="s">
        <v>664</v>
      </c>
      <c r="C138" s="141" t="s">
        <v>665</v>
      </c>
    </row>
    <row r="139" spans="1:3">
      <c r="A139" s="196"/>
      <c r="B139" s="141" t="s">
        <v>666</v>
      </c>
      <c r="C139" s="141" t="s">
        <v>667</v>
      </c>
    </row>
    <row r="140" spans="1:3">
      <c r="A140" s="196"/>
      <c r="B140" s="141" t="s">
        <v>668</v>
      </c>
      <c r="C140" s="141" t="s">
        <v>669</v>
      </c>
    </row>
    <row r="141" spans="1:3">
      <c r="A141" s="196"/>
      <c r="B141" s="141" t="s">
        <v>670</v>
      </c>
      <c r="C141" s="141" t="s">
        <v>671</v>
      </c>
    </row>
    <row r="142" spans="1:3">
      <c r="A142" s="196"/>
      <c r="B142" s="141" t="s">
        <v>672</v>
      </c>
      <c r="C142" s="141" t="s">
        <v>673</v>
      </c>
    </row>
    <row r="143" spans="1:3">
      <c r="A143" s="196"/>
      <c r="B143" s="141" t="s">
        <v>674</v>
      </c>
      <c r="C143" s="141" t="s">
        <v>675</v>
      </c>
    </row>
    <row r="144" spans="1:3">
      <c r="A144" s="196"/>
      <c r="B144" s="141" t="s">
        <v>676</v>
      </c>
      <c r="C144" s="141" t="s">
        <v>677</v>
      </c>
    </row>
    <row r="145" spans="1:3">
      <c r="A145" s="196"/>
      <c r="B145" s="141" t="s">
        <v>678</v>
      </c>
      <c r="C145" s="141" t="s">
        <v>679</v>
      </c>
    </row>
    <row r="146" spans="1:3">
      <c r="A146" s="196"/>
      <c r="B146" s="141" t="s">
        <v>680</v>
      </c>
      <c r="C146" s="141" t="s">
        <v>681</v>
      </c>
    </row>
    <row r="147" spans="1:3">
      <c r="A147" s="196"/>
      <c r="B147" s="141" t="s">
        <v>682</v>
      </c>
      <c r="C147" s="141" t="s">
        <v>683</v>
      </c>
    </row>
    <row r="148" spans="1:3">
      <c r="A148" s="196"/>
      <c r="B148" s="141" t="s">
        <v>684</v>
      </c>
      <c r="C148" s="141" t="s">
        <v>685</v>
      </c>
    </row>
    <row r="149" spans="1:3">
      <c r="A149" s="196"/>
      <c r="B149" s="141" t="s">
        <v>686</v>
      </c>
      <c r="C149" s="141" t="s">
        <v>687</v>
      </c>
    </row>
    <row r="150" spans="1:3">
      <c r="A150" s="196"/>
      <c r="B150" s="141" t="s">
        <v>688</v>
      </c>
      <c r="C150" s="141" t="s">
        <v>689</v>
      </c>
    </row>
    <row r="151" spans="1:3">
      <c r="A151" s="197" t="s">
        <v>690</v>
      </c>
      <c r="B151" s="142" t="s">
        <v>432</v>
      </c>
      <c r="C151" s="142" t="s">
        <v>691</v>
      </c>
    </row>
    <row r="152" spans="1:3">
      <c r="A152" s="197"/>
      <c r="B152" s="142" t="s">
        <v>433</v>
      </c>
      <c r="C152" s="142" t="s">
        <v>692</v>
      </c>
    </row>
    <row r="153" spans="1:3">
      <c r="A153" s="196" t="s">
        <v>693</v>
      </c>
      <c r="B153" s="141" t="s">
        <v>432</v>
      </c>
      <c r="C153" s="141" t="s">
        <v>694</v>
      </c>
    </row>
    <row r="154" spans="1:3">
      <c r="A154" s="196"/>
      <c r="B154" s="141" t="s">
        <v>433</v>
      </c>
      <c r="C154" s="141" t="s">
        <v>695</v>
      </c>
    </row>
    <row r="155" spans="1:3">
      <c r="A155" s="196"/>
      <c r="B155" s="141" t="s">
        <v>435</v>
      </c>
      <c r="C155" s="141" t="s">
        <v>696</v>
      </c>
    </row>
    <row r="156" spans="1:3">
      <c r="A156" s="196"/>
      <c r="B156" s="141" t="s">
        <v>437</v>
      </c>
      <c r="C156" s="141" t="s">
        <v>697</v>
      </c>
    </row>
    <row r="157" spans="1:3">
      <c r="A157" s="196"/>
      <c r="B157" s="141" t="s">
        <v>439</v>
      </c>
      <c r="C157" s="141" t="s">
        <v>698</v>
      </c>
    </row>
    <row r="158" spans="1:3">
      <c r="A158" s="196"/>
      <c r="B158" s="141" t="s">
        <v>450</v>
      </c>
      <c r="C158" s="141" t="s">
        <v>699</v>
      </c>
    </row>
    <row r="159" spans="1:3">
      <c r="A159" s="196"/>
      <c r="B159" s="141" t="s">
        <v>452</v>
      </c>
      <c r="C159" s="141" t="s">
        <v>700</v>
      </c>
    </row>
    <row r="160" spans="1:3">
      <c r="A160" s="196"/>
      <c r="B160" s="141" t="s">
        <v>454</v>
      </c>
      <c r="C160" s="141" t="s">
        <v>701</v>
      </c>
    </row>
    <row r="161" spans="1:3">
      <c r="A161" s="196"/>
      <c r="B161" s="141" t="s">
        <v>468</v>
      </c>
      <c r="C161" s="141" t="s">
        <v>702</v>
      </c>
    </row>
    <row r="162" spans="1:3">
      <c r="A162" s="196"/>
      <c r="B162" s="141" t="s">
        <v>472</v>
      </c>
      <c r="C162" s="141" t="s">
        <v>703</v>
      </c>
    </row>
    <row r="163" spans="1:3">
      <c r="A163" s="196"/>
      <c r="B163" s="141" t="s">
        <v>474</v>
      </c>
      <c r="C163" s="141" t="s">
        <v>704</v>
      </c>
    </row>
    <row r="164" spans="1:3">
      <c r="A164" s="196"/>
      <c r="B164" s="141" t="s">
        <v>476</v>
      </c>
      <c r="C164" s="141" t="s">
        <v>705</v>
      </c>
    </row>
    <row r="165" spans="1:3">
      <c r="A165" s="196"/>
      <c r="B165" s="141" t="s">
        <v>478</v>
      </c>
      <c r="C165" s="141" t="s">
        <v>706</v>
      </c>
    </row>
    <row r="166" spans="1:3">
      <c r="A166" s="197" t="s">
        <v>707</v>
      </c>
      <c r="B166" s="142" t="s">
        <v>432</v>
      </c>
      <c r="C166" s="142" t="s">
        <v>708</v>
      </c>
    </row>
    <row r="167" spans="1:3">
      <c r="A167" s="197"/>
      <c r="B167" s="142" t="s">
        <v>433</v>
      </c>
      <c r="C167" s="142" t="s">
        <v>709</v>
      </c>
    </row>
    <row r="168" spans="1:3">
      <c r="A168" s="197"/>
      <c r="B168" s="142" t="s">
        <v>435</v>
      </c>
      <c r="C168" s="142" t="s">
        <v>710</v>
      </c>
    </row>
    <row r="169" spans="1:3">
      <c r="A169" s="197"/>
      <c r="B169" s="142" t="s">
        <v>437</v>
      </c>
      <c r="C169" s="142" t="s">
        <v>711</v>
      </c>
    </row>
    <row r="170" spans="1:3">
      <c r="A170" s="196" t="s">
        <v>712</v>
      </c>
      <c r="B170" s="141" t="s">
        <v>432</v>
      </c>
      <c r="C170" s="141" t="s">
        <v>713</v>
      </c>
    </row>
    <row r="171" spans="1:3">
      <c r="A171" s="196"/>
      <c r="B171" s="141" t="s">
        <v>433</v>
      </c>
      <c r="C171" s="141" t="s">
        <v>713</v>
      </c>
    </row>
  </sheetData>
  <mergeCells count="15">
    <mergeCell ref="A2:A6"/>
    <mergeCell ref="A7:A9"/>
    <mergeCell ref="A10:A16"/>
    <mergeCell ref="A17:A18"/>
    <mergeCell ref="A76:A78"/>
    <mergeCell ref="A170:A171"/>
    <mergeCell ref="A19:A59"/>
    <mergeCell ref="A60:A69"/>
    <mergeCell ref="A70:A71"/>
    <mergeCell ref="A72:A75"/>
    <mergeCell ref="A79:A83"/>
    <mergeCell ref="A84:A150"/>
    <mergeCell ref="A151:A152"/>
    <mergeCell ref="A153:A165"/>
    <mergeCell ref="A166:A169"/>
  </mergeCells>
  <phoneticPr fontId="17"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D9EC8-B11C-4524-8509-AEA82379894B}">
  <dimension ref="A1:C10"/>
  <sheetViews>
    <sheetView workbookViewId="0">
      <selection activeCell="C1" sqref="C1"/>
    </sheetView>
  </sheetViews>
  <sheetFormatPr defaultRowHeight="16.5"/>
  <cols>
    <col min="1" max="1" width="23.125" customWidth="1"/>
    <col min="2" max="2" width="9.375" customWidth="1"/>
    <col min="3" max="3" width="18.75" customWidth="1"/>
  </cols>
  <sheetData>
    <row r="1" spans="1:3">
      <c r="A1" s="134" t="s">
        <v>382</v>
      </c>
      <c r="B1" s="134" t="s">
        <v>417</v>
      </c>
      <c r="C1" s="134" t="s">
        <v>384</v>
      </c>
    </row>
    <row r="2" spans="1:3">
      <c r="A2" s="135" t="s">
        <v>408</v>
      </c>
      <c r="B2" s="135">
        <v>99</v>
      </c>
      <c r="C2" s="135" t="s">
        <v>418</v>
      </c>
    </row>
    <row r="3" spans="1:3">
      <c r="A3" s="136" t="s">
        <v>409</v>
      </c>
      <c r="B3" s="136">
        <v>103</v>
      </c>
      <c r="C3" s="136" t="s">
        <v>426</v>
      </c>
    </row>
    <row r="4" spans="1:3">
      <c r="A4" s="135" t="s">
        <v>410</v>
      </c>
      <c r="B4" s="135">
        <v>104</v>
      </c>
      <c r="C4" s="135" t="s">
        <v>419</v>
      </c>
    </row>
    <row r="5" spans="1:3">
      <c r="A5" s="136" t="s">
        <v>411</v>
      </c>
      <c r="B5" s="136">
        <v>105</v>
      </c>
      <c r="C5" s="136" t="s">
        <v>420</v>
      </c>
    </row>
    <row r="6" spans="1:3">
      <c r="A6" s="135" t="s">
        <v>412</v>
      </c>
      <c r="B6" s="135">
        <v>120</v>
      </c>
      <c r="C6" s="135" t="s">
        <v>421</v>
      </c>
    </row>
    <row r="7" spans="1:3">
      <c r="A7" s="136" t="s">
        <v>413</v>
      </c>
      <c r="B7" s="136">
        <v>121</v>
      </c>
      <c r="C7" s="136" t="s">
        <v>422</v>
      </c>
    </row>
    <row r="8" spans="1:3">
      <c r="A8" s="135" t="s">
        <v>414</v>
      </c>
      <c r="B8" s="135">
        <v>122</v>
      </c>
      <c r="C8" s="135" t="s">
        <v>425</v>
      </c>
    </row>
    <row r="9" spans="1:3">
      <c r="A9" s="136" t="s">
        <v>415</v>
      </c>
      <c r="B9" s="136">
        <v>200</v>
      </c>
      <c r="C9" s="136" t="s">
        <v>424</v>
      </c>
    </row>
    <row r="10" spans="1:3">
      <c r="A10" s="135" t="s">
        <v>416</v>
      </c>
      <c r="B10" s="135">
        <v>201</v>
      </c>
      <c r="C10" s="135" t="s">
        <v>423</v>
      </c>
    </row>
  </sheetData>
  <phoneticPr fontId="17"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B2D79-7A46-427E-A99F-631A7ACC35C9}">
  <dimension ref="A1:C5"/>
  <sheetViews>
    <sheetView workbookViewId="0">
      <selection activeCell="I30" sqref="I30"/>
    </sheetView>
  </sheetViews>
  <sheetFormatPr defaultRowHeight="16.5"/>
  <cols>
    <col min="1" max="1" width="15.625" customWidth="1"/>
    <col min="3" max="3" width="23.875" customWidth="1"/>
  </cols>
  <sheetData>
    <row r="1" spans="1:3">
      <c r="A1" s="134" t="s">
        <v>382</v>
      </c>
      <c r="B1" s="134" t="s">
        <v>417</v>
      </c>
      <c r="C1" s="134" t="s">
        <v>384</v>
      </c>
    </row>
    <row r="2" spans="1:3">
      <c r="A2" s="135" t="s">
        <v>714</v>
      </c>
      <c r="B2" s="135">
        <v>0</v>
      </c>
      <c r="C2" s="135" t="s">
        <v>718</v>
      </c>
    </row>
    <row r="3" spans="1:3">
      <c r="A3" s="136" t="s">
        <v>715</v>
      </c>
      <c r="B3" s="136">
        <v>1</v>
      </c>
      <c r="C3" s="136" t="s">
        <v>719</v>
      </c>
    </row>
    <row r="4" spans="1:3">
      <c r="A4" s="135" t="s">
        <v>716</v>
      </c>
      <c r="B4" s="135">
        <v>2</v>
      </c>
      <c r="C4" s="135" t="s">
        <v>720</v>
      </c>
    </row>
    <row r="5" spans="1:3">
      <c r="A5" s="136" t="s">
        <v>717</v>
      </c>
      <c r="B5" s="136">
        <v>3</v>
      </c>
      <c r="C5" s="136" t="s">
        <v>721</v>
      </c>
    </row>
  </sheetData>
  <phoneticPr fontId="17"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
  <sheetViews>
    <sheetView workbookViewId="0"/>
  </sheetViews>
  <sheetFormatPr defaultColWidth="9" defaultRowHeight="16.5"/>
  <cols>
    <col min="1" max="1" width="20.625" customWidth="1"/>
  </cols>
  <sheetData>
    <row r="1" spans="1:1">
      <c r="A1" s="4" t="s">
        <v>268</v>
      </c>
    </row>
    <row r="2" spans="1:1">
      <c r="A2" s="4" t="s">
        <v>269</v>
      </c>
    </row>
    <row r="3" spans="1:1">
      <c r="A3" s="4" t="s">
        <v>270</v>
      </c>
    </row>
    <row r="4" spans="1:1">
      <c r="A4" s="4" t="s">
        <v>271</v>
      </c>
    </row>
  </sheetData>
  <phoneticPr fontId="17"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
  <sheetViews>
    <sheetView workbookViewId="0"/>
  </sheetViews>
  <sheetFormatPr defaultColWidth="9" defaultRowHeight="16.5"/>
  <cols>
    <col min="1" max="1" width="25.875" customWidth="1"/>
    <col min="2" max="2" width="14.5" customWidth="1"/>
  </cols>
  <sheetData>
    <row r="1" spans="1:2">
      <c r="A1" s="4" t="s">
        <v>272</v>
      </c>
      <c r="B1" s="4" t="s">
        <v>273</v>
      </c>
    </row>
    <row r="2" spans="1:2">
      <c r="A2" s="2" t="s">
        <v>274</v>
      </c>
      <c r="B2" s="1" t="s">
        <v>275</v>
      </c>
    </row>
    <row r="3" spans="1:2">
      <c r="A3" s="2" t="s">
        <v>276</v>
      </c>
      <c r="B3" s="1" t="s">
        <v>277</v>
      </c>
    </row>
    <row r="4" spans="1:2">
      <c r="A4" s="2" t="s">
        <v>278</v>
      </c>
      <c r="B4" s="1" t="s">
        <v>279</v>
      </c>
    </row>
  </sheetData>
  <phoneticPr fontId="17"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4"/>
  <sheetViews>
    <sheetView workbookViewId="0"/>
  </sheetViews>
  <sheetFormatPr defaultColWidth="9" defaultRowHeight="16.5"/>
  <cols>
    <col min="1" max="1" width="58.75" style="1" customWidth="1"/>
  </cols>
  <sheetData>
    <row r="1" spans="1:1">
      <c r="A1" s="1" t="s">
        <v>1284</v>
      </c>
    </row>
    <row r="2" spans="1:1">
      <c r="A2" s="2" t="s">
        <v>281</v>
      </c>
    </row>
    <row r="3" spans="1:1">
      <c r="A3" s="2" t="s">
        <v>282</v>
      </c>
    </row>
    <row r="4" spans="1:1">
      <c r="A4" s="2" t="s">
        <v>283</v>
      </c>
    </row>
    <row r="5" spans="1:1">
      <c r="A5" s="2" t="s">
        <v>284</v>
      </c>
    </row>
    <row r="6" spans="1:1">
      <c r="A6" s="2" t="s">
        <v>285</v>
      </c>
    </row>
    <row r="7" spans="1:1">
      <c r="A7" s="2" t="s">
        <v>286</v>
      </c>
    </row>
    <row r="8" spans="1:1">
      <c r="A8" s="2" t="s">
        <v>287</v>
      </c>
    </row>
    <row r="9" spans="1:1">
      <c r="A9" s="2" t="s">
        <v>288</v>
      </c>
    </row>
    <row r="10" spans="1:1">
      <c r="A10" s="2" t="s">
        <v>289</v>
      </c>
    </row>
    <row r="11" spans="1:1">
      <c r="A11" s="2" t="s">
        <v>290</v>
      </c>
    </row>
    <row r="12" spans="1:1">
      <c r="A12" s="2" t="s">
        <v>291</v>
      </c>
    </row>
    <row r="13" spans="1:1">
      <c r="A13" s="2" t="s">
        <v>292</v>
      </c>
    </row>
    <row r="14" spans="1:1">
      <c r="A14" s="2" t="s">
        <v>293</v>
      </c>
    </row>
  </sheetData>
  <phoneticPr fontId="17"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3"/>
  <sheetViews>
    <sheetView workbookViewId="0">
      <selection activeCell="B1" sqref="B1:B3"/>
    </sheetView>
  </sheetViews>
  <sheetFormatPr defaultColWidth="9" defaultRowHeight="16.5"/>
  <cols>
    <col min="1" max="1" width="30.75" customWidth="1"/>
    <col min="2" max="2" width="38.25" customWidth="1"/>
  </cols>
  <sheetData>
    <row r="1" spans="1:2">
      <c r="A1" s="4" t="s">
        <v>280</v>
      </c>
      <c r="B1" s="4" t="s">
        <v>273</v>
      </c>
    </row>
    <row r="2" spans="1:2">
      <c r="A2" s="4" t="s">
        <v>294</v>
      </c>
      <c r="B2" s="4" t="s">
        <v>295</v>
      </c>
    </row>
    <row r="3" spans="1:2">
      <c r="A3" s="4" t="s">
        <v>296</v>
      </c>
      <c r="B3" s="4" t="s">
        <v>297</v>
      </c>
    </row>
  </sheetData>
  <phoneticPr fontId="17"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5"/>
  <sheetViews>
    <sheetView workbookViewId="0">
      <selection activeCell="B5" sqref="A1:B5"/>
    </sheetView>
  </sheetViews>
  <sheetFormatPr defaultColWidth="9" defaultRowHeight="16.5"/>
  <cols>
    <col min="1" max="1" width="37.25" customWidth="1"/>
    <col min="2" max="2" width="43.875" bestFit="1" customWidth="1"/>
  </cols>
  <sheetData>
    <row r="1" spans="1:2">
      <c r="A1" s="133" t="s">
        <v>1318</v>
      </c>
      <c r="B1" s="133" t="s">
        <v>1319</v>
      </c>
    </row>
    <row r="2" spans="1:2">
      <c r="A2" s="148" t="s">
        <v>1286</v>
      </c>
      <c r="B2" s="4" t="s">
        <v>1290</v>
      </c>
    </row>
    <row r="3" spans="1:2">
      <c r="A3" s="148" t="s">
        <v>1287</v>
      </c>
      <c r="B3" s="4" t="s">
        <v>1291</v>
      </c>
    </row>
    <row r="4" spans="1:2">
      <c r="A4" s="148" t="s">
        <v>1288</v>
      </c>
      <c r="B4" s="4" t="s">
        <v>1292</v>
      </c>
    </row>
    <row r="5" spans="1:2">
      <c r="A5" s="148" t="s">
        <v>1289</v>
      </c>
      <c r="B5" s="4" t="s">
        <v>1293</v>
      </c>
    </row>
  </sheetData>
  <phoneticPr fontId="17"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E673A-61DE-49CE-B211-188054247EA3}">
  <dimension ref="A1:B4"/>
  <sheetViews>
    <sheetView workbookViewId="0">
      <selection activeCell="B10" sqref="B10"/>
    </sheetView>
  </sheetViews>
  <sheetFormatPr defaultRowHeight="16.5"/>
  <cols>
    <col min="1" max="1" width="27.25" bestFit="1" customWidth="1"/>
    <col min="2" max="2" width="41.625" bestFit="1" customWidth="1"/>
  </cols>
  <sheetData>
    <row r="1" spans="1:2">
      <c r="A1" s="4" t="s">
        <v>1299</v>
      </c>
    </row>
    <row r="2" spans="1:2">
      <c r="A2" s="4" t="s">
        <v>1296</v>
      </c>
      <c r="B2" s="146" t="s">
        <v>1300</v>
      </c>
    </row>
    <row r="3" spans="1:2">
      <c r="A3" s="4" t="s">
        <v>1297</v>
      </c>
      <c r="B3" s="146" t="s">
        <v>1301</v>
      </c>
    </row>
    <row r="4" spans="1:2">
      <c r="A4" s="4" t="s">
        <v>1298</v>
      </c>
      <c r="B4" s="146" t="s">
        <v>1302</v>
      </c>
    </row>
  </sheetData>
  <phoneticPr fontId="17"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E1BE6-DD75-477B-ABF8-F1030D340D6D}">
  <dimension ref="A1:B8"/>
  <sheetViews>
    <sheetView workbookViewId="0">
      <selection activeCell="A4" sqref="A1:B8"/>
    </sheetView>
  </sheetViews>
  <sheetFormatPr defaultRowHeight="16.5"/>
  <cols>
    <col min="1" max="1" width="75" bestFit="1" customWidth="1"/>
    <col min="2" max="2" width="37.25" bestFit="1" customWidth="1"/>
  </cols>
  <sheetData>
    <row r="1" spans="1:2">
      <c r="A1" s="149" t="s">
        <v>1321</v>
      </c>
      <c r="B1" s="149" t="s">
        <v>1320</v>
      </c>
    </row>
    <row r="2" spans="1:2">
      <c r="A2" s="146" t="s">
        <v>1311</v>
      </c>
      <c r="B2" s="146" t="s">
        <v>1304</v>
      </c>
    </row>
    <row r="3" spans="1:2">
      <c r="A3" s="146" t="s">
        <v>1312</v>
      </c>
      <c r="B3" s="146" t="s">
        <v>1305</v>
      </c>
    </row>
    <row r="4" spans="1:2">
      <c r="A4" s="146" t="s">
        <v>1313</v>
      </c>
      <c r="B4" s="146" t="s">
        <v>1306</v>
      </c>
    </row>
    <row r="5" spans="1:2">
      <c r="A5" s="146" t="s">
        <v>1314</v>
      </c>
      <c r="B5" s="146" t="s">
        <v>1307</v>
      </c>
    </row>
    <row r="6" spans="1:2">
      <c r="A6" s="146" t="s">
        <v>1315</v>
      </c>
      <c r="B6" s="146" t="s">
        <v>1308</v>
      </c>
    </row>
    <row r="7" spans="1:2">
      <c r="A7" s="146" t="s">
        <v>1316</v>
      </c>
      <c r="B7" s="146" t="s">
        <v>1309</v>
      </c>
    </row>
    <row r="8" spans="1:2">
      <c r="A8" s="146" t="s">
        <v>1317</v>
      </c>
      <c r="B8" s="146" t="s">
        <v>1310</v>
      </c>
    </row>
  </sheetData>
  <phoneticPr fontId="17"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4"/>
  <sheetViews>
    <sheetView workbookViewId="0"/>
  </sheetViews>
  <sheetFormatPr defaultColWidth="9" defaultRowHeight="16.5"/>
  <cols>
    <col min="1" max="1" width="29.75" customWidth="1"/>
    <col min="2" max="2" width="23.875" customWidth="1"/>
  </cols>
  <sheetData>
    <row r="1" spans="1:2">
      <c r="A1" s="4" t="s">
        <v>11</v>
      </c>
      <c r="B1" s="4" t="s">
        <v>273</v>
      </c>
    </row>
    <row r="2" spans="1:2">
      <c r="A2" s="2" t="s">
        <v>298</v>
      </c>
      <c r="B2" s="1" t="s">
        <v>299</v>
      </c>
    </row>
    <row r="3" spans="1:2">
      <c r="A3" s="1" t="s">
        <v>300</v>
      </c>
      <c r="B3" s="1" t="s">
        <v>301</v>
      </c>
    </row>
    <row r="4" spans="1:2">
      <c r="A4" s="1" t="s">
        <v>302</v>
      </c>
      <c r="B4" s="1" t="s">
        <v>303</v>
      </c>
    </row>
  </sheetData>
  <phoneticPr fontId="17"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4"/>
  <sheetViews>
    <sheetView workbookViewId="0"/>
  </sheetViews>
  <sheetFormatPr defaultColWidth="27.125" defaultRowHeight="13.5"/>
  <cols>
    <col min="1" max="1" width="41" style="5" customWidth="1"/>
    <col min="2" max="2" width="35.25" style="5" customWidth="1"/>
    <col min="3" max="16384" width="27.125" style="5"/>
  </cols>
  <sheetData>
    <row r="1" spans="1:2">
      <c r="A1" s="6" t="s">
        <v>280</v>
      </c>
      <c r="B1" s="6" t="s">
        <v>273</v>
      </c>
    </row>
    <row r="2" spans="1:2">
      <c r="A2" s="7" t="s">
        <v>304</v>
      </c>
      <c r="B2" s="6" t="s">
        <v>305</v>
      </c>
    </row>
    <row r="3" spans="1:2">
      <c r="A3" s="7" t="s">
        <v>306</v>
      </c>
      <c r="B3" s="6" t="s">
        <v>307</v>
      </c>
    </row>
    <row r="4" spans="1:2">
      <c r="A4" s="7" t="s">
        <v>308</v>
      </c>
      <c r="B4" s="6" t="s">
        <v>309</v>
      </c>
    </row>
    <row r="5" spans="1:2">
      <c r="A5" s="7" t="s">
        <v>310</v>
      </c>
      <c r="B5" s="6" t="s">
        <v>311</v>
      </c>
    </row>
    <row r="6" spans="1:2">
      <c r="A6" s="7" t="s">
        <v>312</v>
      </c>
      <c r="B6" s="6" t="s">
        <v>313</v>
      </c>
    </row>
    <row r="7" spans="1:2">
      <c r="A7" s="7" t="s">
        <v>314</v>
      </c>
      <c r="B7" s="6" t="s">
        <v>315</v>
      </c>
    </row>
    <row r="8" spans="1:2">
      <c r="A8" s="7" t="s">
        <v>316</v>
      </c>
      <c r="B8" s="6" t="s">
        <v>317</v>
      </c>
    </row>
    <row r="9" spans="1:2">
      <c r="A9" s="7" t="s">
        <v>318</v>
      </c>
      <c r="B9" s="6" t="s">
        <v>319</v>
      </c>
    </row>
    <row r="10" spans="1:2">
      <c r="A10" s="7" t="s">
        <v>320</v>
      </c>
      <c r="B10" s="6" t="s">
        <v>321</v>
      </c>
    </row>
    <row r="11" spans="1:2">
      <c r="A11" s="7" t="s">
        <v>322</v>
      </c>
      <c r="B11" s="6" t="s">
        <v>323</v>
      </c>
    </row>
    <row r="12" spans="1:2">
      <c r="A12" s="7" t="s">
        <v>324</v>
      </c>
      <c r="B12" s="6" t="s">
        <v>325</v>
      </c>
    </row>
    <row r="13" spans="1:2">
      <c r="A13" s="7" t="s">
        <v>326</v>
      </c>
      <c r="B13" s="6" t="s">
        <v>327</v>
      </c>
    </row>
    <row r="14" spans="1:2">
      <c r="A14" s="7" t="s">
        <v>328</v>
      </c>
      <c r="B14" s="6" t="s">
        <v>329</v>
      </c>
    </row>
  </sheetData>
  <phoneticPr fontId="17"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3"/>
  <sheetViews>
    <sheetView workbookViewId="0"/>
  </sheetViews>
  <sheetFormatPr defaultColWidth="9" defaultRowHeight="16.5"/>
  <cols>
    <col min="1" max="1" width="37.5" customWidth="1"/>
    <col min="2" max="2" width="14" customWidth="1"/>
  </cols>
  <sheetData>
    <row r="1" spans="1:2">
      <c r="A1" s="4" t="s">
        <v>280</v>
      </c>
      <c r="B1" s="4" t="s">
        <v>273</v>
      </c>
    </row>
    <row r="2" spans="1:2">
      <c r="A2" s="2" t="s">
        <v>330</v>
      </c>
      <c r="B2" s="1" t="s">
        <v>331</v>
      </c>
    </row>
    <row r="3" spans="1:2">
      <c r="A3" s="2" t="s">
        <v>332</v>
      </c>
      <c r="B3" s="1" t="s">
        <v>333</v>
      </c>
    </row>
  </sheetData>
  <phoneticPr fontId="17"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1"/>
  <sheetViews>
    <sheetView workbookViewId="0"/>
  </sheetViews>
  <sheetFormatPr defaultColWidth="8.875" defaultRowHeight="18.75"/>
  <cols>
    <col min="1" max="1" width="59.5" style="3" customWidth="1"/>
    <col min="2" max="2" width="23.125" style="3" customWidth="1"/>
    <col min="3" max="16384" width="8.875" style="3"/>
  </cols>
  <sheetData>
    <row r="1" spans="1:2">
      <c r="A1" s="4" t="s">
        <v>280</v>
      </c>
      <c r="B1" s="4" t="s">
        <v>273</v>
      </c>
    </row>
    <row r="2" spans="1:2">
      <c r="A2" s="4" t="s">
        <v>334</v>
      </c>
      <c r="B2" s="4" t="s">
        <v>335</v>
      </c>
    </row>
    <row r="3" spans="1:2">
      <c r="A3" s="4" t="s">
        <v>336</v>
      </c>
      <c r="B3" s="4" t="s">
        <v>337</v>
      </c>
    </row>
    <row r="4" spans="1:2">
      <c r="A4" s="4" t="s">
        <v>338</v>
      </c>
      <c r="B4" s="4" t="s">
        <v>339</v>
      </c>
    </row>
    <row r="5" spans="1:2">
      <c r="A5" s="4" t="s">
        <v>340</v>
      </c>
      <c r="B5" s="4" t="s">
        <v>341</v>
      </c>
    </row>
    <row r="6" spans="1:2">
      <c r="A6" s="4" t="s">
        <v>342</v>
      </c>
      <c r="B6" s="4" t="s">
        <v>343</v>
      </c>
    </row>
    <row r="7" spans="1:2">
      <c r="A7" s="4" t="s">
        <v>344</v>
      </c>
      <c r="B7" s="4" t="s">
        <v>345</v>
      </c>
    </row>
    <row r="8" spans="1:2">
      <c r="A8" s="4" t="s">
        <v>346</v>
      </c>
      <c r="B8" s="4" t="s">
        <v>347</v>
      </c>
    </row>
    <row r="9" spans="1:2">
      <c r="A9" s="4" t="s">
        <v>348</v>
      </c>
      <c r="B9" s="4" t="s">
        <v>349</v>
      </c>
    </row>
    <row r="10" spans="1:2">
      <c r="A10" s="4" t="s">
        <v>350</v>
      </c>
      <c r="B10" s="4" t="s">
        <v>351</v>
      </c>
    </row>
    <row r="11" spans="1:2">
      <c r="A11" s="4" t="s">
        <v>352</v>
      </c>
      <c r="B11" s="4" t="s">
        <v>353</v>
      </c>
    </row>
  </sheetData>
  <phoneticPr fontId="17"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4"/>
  <sheetViews>
    <sheetView workbookViewId="0"/>
  </sheetViews>
  <sheetFormatPr defaultColWidth="8.875" defaultRowHeight="18" customHeight="1"/>
  <cols>
    <col min="1" max="1" width="25.875" style="1" customWidth="1"/>
    <col min="2" max="16384" width="8.875" style="1"/>
  </cols>
  <sheetData>
    <row r="1" spans="1:1" ht="18" customHeight="1">
      <c r="A1" s="1" t="s">
        <v>280</v>
      </c>
    </row>
    <row r="2" spans="1:1" ht="18" customHeight="1">
      <c r="A2" s="1" t="s">
        <v>354</v>
      </c>
    </row>
    <row r="3" spans="1:1" ht="18" customHeight="1">
      <c r="A3" s="2" t="s">
        <v>355</v>
      </c>
    </row>
    <row r="4" spans="1:1" ht="18" customHeight="1">
      <c r="A4" s="1" t="s">
        <v>356</v>
      </c>
    </row>
  </sheetData>
  <phoneticPr fontId="1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24</vt:i4>
      </vt:variant>
    </vt:vector>
  </HeadingPairs>
  <TitlesOfParts>
    <vt:vector size="24" baseType="lpstr">
      <vt:lpstr>Explain</vt:lpstr>
      <vt:lpstr>Package(&gt;=v2.14.2)</vt:lpstr>
      <vt:lpstr>Package(v2.11.0-v2.14.1)</vt:lpstr>
      <vt:lpstr>Package(v2.6.0-v2.10.3)</vt:lpstr>
      <vt:lpstr>Package(v2.1.0-v2.5.0)</vt:lpstr>
      <vt:lpstr>Package(v2.0.0-v2.0.3)</vt:lpstr>
      <vt:lpstr>Package Format</vt:lpstr>
      <vt:lpstr>ExceptionDataType</vt:lpstr>
      <vt:lpstr>RuntimeException</vt:lpstr>
      <vt:lpstr>Exception code</vt:lpstr>
      <vt:lpstr>Exception Source</vt:lpstr>
      <vt:lpstr>Exception Level</vt:lpstr>
      <vt:lpstr>SAFETY_OPERATIONAL_MODE</vt:lpstr>
      <vt:lpstr>TOOL_OUTPUT_VOLTAGE</vt:lpstr>
      <vt:lpstr>SAFETY_MODE</vt:lpstr>
      <vt:lpstr>ANALOG_DOMAIN</vt:lpstr>
      <vt:lpstr>ROBOT_STRUCTURE_TYPE</vt:lpstr>
      <vt:lpstr>CONTROL_BOX_TYPE</vt:lpstr>
      <vt:lpstr>TOOL_TYPE</vt:lpstr>
      <vt:lpstr>ROBOT_TYPE</vt:lpstr>
      <vt:lpstr>JOINT_AND_TOOL_MODE</vt:lpstr>
      <vt:lpstr>ROBOT_CONTROL_MODE</vt:lpstr>
      <vt:lpstr>ROBOT_MODE</vt:lpstr>
      <vt:lpstr>ROBOT_SPEED_MODE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정 훈영</cp:lastModifiedBy>
  <dcterms:created xsi:type="dcterms:W3CDTF">2015-06-05T18:19:00Z</dcterms:created>
  <dcterms:modified xsi:type="dcterms:W3CDTF">2025-12-12T04:42:39Z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9B907E08EE734E62A28264197715E271</vt:lpwstr>
  </property>
  <property fmtid="{D5CDD505-2E9C-101B-9397-08002B2CF9AE}" pid="3" name="KSOProductBuildVer">
    <vt:lpwstr>2052-11.1.0.14309</vt:lpwstr>
  </property>
</Properties>
</file>